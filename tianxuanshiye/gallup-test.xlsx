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启始页" sheetId="1" r:id="rId1"/>
    <sheet name="首页" sheetId="2" r:id="rId2"/>
    <sheet name="测试题" sheetId="3" r:id="rId3"/>
    <sheet name="结" sheetId="4" state="hidden" r:id="rId4"/>
    <sheet name="sheet1" sheetId="5" state="hidden" r:id="rId5"/>
    <sheet name="Sheet2" sheetId="6" state="hidden" r:id="rId6"/>
    <sheet name="结果" sheetId="7" r:id="rId7"/>
  </sheets>
  <definedNames>
    <definedName name="_xlnm.Print_Titles" localSheetId="2">测试题!$1:$6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<sst xmlns="http://schemas.openxmlformats.org/spreadsheetml/2006/main" count="683" uniqueCount="574">
  <si>
    <t>欢迎使用</t>
  </si>
  <si>
    <t>Excel《盖洛普优势识别器》测试系统</t>
  </si>
  <si>
    <r>
      <rPr>
        <sz val="11"/>
        <color rgb="FF000000"/>
        <rFont val="宋体"/>
        <charset val="134"/>
      </rPr>
      <t xml:space="preserve">    </t>
    </r>
    <r>
      <rPr>
        <sz val="11"/>
        <color rgb="FF333333"/>
        <rFont val="宋体"/>
        <charset val="134"/>
      </rPr>
      <t>《盖洛普优势识别器</t>
    </r>
    <r>
      <rPr>
        <sz val="11"/>
        <color rgb="FF333333"/>
        <rFont val="Arial"/>
        <charset val="134"/>
      </rPr>
      <t>2.0</t>
    </r>
    <r>
      <rPr>
        <sz val="11"/>
        <color rgb="FF333333"/>
        <rFont val="宋体"/>
        <charset val="134"/>
      </rPr>
      <t>》是年中国青年出版社出版的图书，作者是汤姆</t>
    </r>
    <r>
      <rPr>
        <sz val="11"/>
        <color rgb="FF333333"/>
        <rFont val="Arial"/>
        <charset val="134"/>
      </rPr>
      <t>·</t>
    </r>
    <r>
      <rPr>
        <sz val="11"/>
        <color rgb="FF333333"/>
        <rFont val="宋体"/>
        <charset val="134"/>
      </rPr>
      <t>拉思。</t>
    </r>
  </si>
  <si>
    <r>
      <rPr>
        <sz val="11"/>
        <color rgb="FF000000"/>
        <rFont val="宋体"/>
        <charset val="134"/>
      </rPr>
      <t xml:space="preserve">    </t>
    </r>
    <r>
      <rPr>
        <sz val="11"/>
        <rFont val="宋体"/>
        <charset val="134"/>
      </rPr>
      <t>为了帮助人们发现自身优势，1998年，优势心理学之父唐纳德克利夫顿博士（1924-2003）与本书作者汤姆拉思及盖洛普科学家团队研发了一项科学的优势测量工具——优势识别器，并将这项独一无二的测量工具纳入到了管理类畅销书《现在，发现你的优势》（中国青年出版社出版）中。此书位列畅销书榜长达5年，且引发了一场全球大讨论。</t>
    </r>
  </si>
  <si>
    <r>
      <rPr>
        <sz val="11"/>
        <color rgb="FF000000"/>
        <rFont val="Times New Roman"/>
        <charset val="134"/>
      </rPr>
      <t xml:space="preserve">        2007</t>
    </r>
    <r>
      <rPr>
        <sz val="11"/>
        <color rgb="FF000000"/>
        <rFont val="宋体"/>
        <charset val="134"/>
      </rPr>
      <t>年，基于对上百万份优势识别器测试结果的分析，盖洛普科学家团队改良并开发出全新版测试——优势识别器</t>
    </r>
    <r>
      <rPr>
        <sz val="11"/>
        <color rgb="FF000000"/>
        <rFont val="Times New Roman"/>
        <charset val="134"/>
      </rPr>
      <t>2.0</t>
    </r>
    <r>
      <rPr>
        <sz val="11"/>
        <color rgb="FF000000"/>
        <rFont val="宋体"/>
        <charset val="134"/>
      </rPr>
      <t>。基于</t>
    </r>
    <r>
      <rPr>
        <sz val="11"/>
        <color rgb="FF000000"/>
        <rFont val="Times New Roman"/>
        <charset val="134"/>
      </rPr>
      <t>50</t>
    </r>
    <r>
      <rPr>
        <sz val="11"/>
        <color rgb="FF000000"/>
        <rFont val="宋体"/>
        <charset val="134"/>
      </rPr>
      <t>多年的研究，这个测量工具已经帮助成百上千万人发现并发挥他们的天赋优势。</t>
    </r>
  </si>
  <si>
    <t xml:space="preserve">    经过测试，认识您的优势，帮助你在接下来的一周、一个月、一年……时间里发挥自身优势。</t>
  </si>
  <si>
    <t>进入测试&gt;&gt;&gt;&gt;&gt;</t>
  </si>
  <si>
    <t>更多测试题&gt;&gt;&gt;&gt;</t>
  </si>
  <si>
    <t>盖洛普优势识别器</t>
  </si>
  <si>
    <t>亲和</t>
  </si>
  <si>
    <t>亲和力强的人情商高，能考虑各种情境下人们的感受，并说出恰当的让人舒服的话。</t>
  </si>
  <si>
    <t>诚实</t>
  </si>
  <si>
    <t>诚实主题较强的人在压力下能保持诚实，但创造力不够强。</t>
  </si>
  <si>
    <t>答题说明：</t>
  </si>
  <si>
    <r>
      <rPr>
        <sz val="14"/>
        <rFont val="黑体"/>
        <charset val="134"/>
      </rPr>
      <t>测试题共有</t>
    </r>
    <r>
      <rPr>
        <sz val="14"/>
        <rFont val="Arial"/>
        <charset val="134"/>
      </rPr>
      <t xml:space="preserve"> 180 </t>
    </r>
    <r>
      <rPr>
        <sz val="14"/>
        <rFont val="黑体"/>
        <charset val="134"/>
      </rPr>
      <t>组题，每组有</t>
    </r>
    <r>
      <rPr>
        <sz val="14"/>
        <rFont val="Arial"/>
        <charset val="134"/>
      </rPr>
      <t xml:space="preserve"> A / B </t>
    </r>
    <r>
      <rPr>
        <sz val="14"/>
        <rFont val="黑体"/>
        <charset val="134"/>
      </rPr>
      <t>两个选择，须在一个小时内答完。</t>
    </r>
  </si>
  <si>
    <t>成就</t>
  </si>
  <si>
    <t>成就主题较强的人大都精力充沛，锲而不舍。他们乐于忙忙碌碌并有所作为。</t>
  </si>
  <si>
    <r>
      <rPr>
        <b/>
        <sz val="14"/>
        <rFont val="Arial"/>
        <charset val="134"/>
      </rPr>
      <t>1</t>
    </r>
    <r>
      <rPr>
        <b/>
        <sz val="14"/>
        <rFont val="宋体"/>
        <charset val="134"/>
      </rPr>
      <t>、</t>
    </r>
  </si>
  <si>
    <r>
      <rPr>
        <sz val="14"/>
        <rFont val="黑体"/>
        <charset val="134"/>
      </rPr>
      <t>如果特别同意</t>
    </r>
    <r>
      <rPr>
        <sz val="14"/>
        <rFont val="Arial"/>
        <charset val="134"/>
      </rPr>
      <t xml:space="preserve"> A </t>
    </r>
    <r>
      <rPr>
        <sz val="14"/>
        <rFont val="黑体"/>
        <charset val="134"/>
      </rPr>
      <t>题请在答题表</t>
    </r>
    <r>
      <rPr>
        <sz val="14"/>
        <rFont val="Arial"/>
        <charset val="134"/>
      </rPr>
      <t xml:space="preserve"> A </t>
    </r>
    <r>
      <rPr>
        <sz val="14"/>
        <rFont val="黑体"/>
        <charset val="134"/>
      </rPr>
      <t>处填</t>
    </r>
    <r>
      <rPr>
        <sz val="14"/>
        <rFont val="Arial"/>
        <charset val="134"/>
      </rPr>
      <t xml:space="preserve"> 3</t>
    </r>
    <r>
      <rPr>
        <sz val="14"/>
        <rFont val="黑体"/>
        <charset val="134"/>
      </rPr>
      <t>，比较同意填</t>
    </r>
    <r>
      <rPr>
        <sz val="14"/>
        <rFont val="Arial"/>
        <charset val="134"/>
      </rPr>
      <t xml:space="preserve"> 2</t>
    </r>
    <r>
      <rPr>
        <sz val="14"/>
        <rFont val="黑体"/>
        <charset val="134"/>
      </rPr>
      <t>；</t>
    </r>
  </si>
  <si>
    <t>行动</t>
  </si>
  <si>
    <t>行动主题较强的人能够将想法付诸行动。他们往往缺乏耐心。</t>
  </si>
  <si>
    <r>
      <rPr>
        <b/>
        <sz val="14"/>
        <rFont val="Arial"/>
        <charset val="134"/>
      </rPr>
      <t>2</t>
    </r>
    <r>
      <rPr>
        <b/>
        <sz val="14"/>
        <rFont val="宋体"/>
        <charset val="134"/>
      </rPr>
      <t>、</t>
    </r>
  </si>
  <si>
    <r>
      <rPr>
        <sz val="14"/>
        <rFont val="黑体"/>
        <charset val="134"/>
      </rPr>
      <t>如果特别同意</t>
    </r>
    <r>
      <rPr>
        <sz val="14"/>
        <rFont val="Arial"/>
        <charset val="134"/>
      </rPr>
      <t xml:space="preserve"> B </t>
    </r>
    <r>
      <rPr>
        <sz val="14"/>
        <rFont val="黑体"/>
        <charset val="134"/>
      </rPr>
      <t>题请在答题表</t>
    </r>
    <r>
      <rPr>
        <sz val="14"/>
        <rFont val="Arial"/>
        <charset val="134"/>
      </rPr>
      <t xml:space="preserve"> B </t>
    </r>
    <r>
      <rPr>
        <sz val="14"/>
        <rFont val="黑体"/>
        <charset val="134"/>
      </rPr>
      <t>处填</t>
    </r>
    <r>
      <rPr>
        <sz val="14"/>
        <rFont val="Arial"/>
        <charset val="134"/>
      </rPr>
      <t xml:space="preserve"> 3</t>
    </r>
    <r>
      <rPr>
        <sz val="14"/>
        <rFont val="黑体"/>
        <charset val="134"/>
      </rPr>
      <t>，比较同意填</t>
    </r>
    <r>
      <rPr>
        <sz val="14"/>
        <rFont val="Arial"/>
        <charset val="134"/>
      </rPr>
      <t xml:space="preserve"> 2</t>
    </r>
    <r>
      <rPr>
        <sz val="14"/>
        <rFont val="黑体"/>
        <charset val="134"/>
      </rPr>
      <t>；</t>
    </r>
  </si>
  <si>
    <t>适应</t>
  </si>
  <si>
    <t>适应性强的人倾向于“随大流”。他们活在“当前”，接受现实，随遇而安。</t>
  </si>
  <si>
    <r>
      <rPr>
        <b/>
        <sz val="14"/>
        <rFont val="Arial"/>
        <charset val="134"/>
      </rPr>
      <t>3</t>
    </r>
    <r>
      <rPr>
        <b/>
        <sz val="14"/>
        <rFont val="宋体"/>
        <charset val="134"/>
      </rPr>
      <t>、</t>
    </r>
  </si>
  <si>
    <r>
      <rPr>
        <sz val="14"/>
        <rFont val="黑体"/>
        <charset val="134"/>
      </rPr>
      <t>每组只能选一个答案，如果答案介于两者之间，在居中栏填</t>
    </r>
    <r>
      <rPr>
        <sz val="14"/>
        <rFont val="Arial"/>
        <charset val="134"/>
      </rPr>
      <t xml:space="preserve"> 1</t>
    </r>
    <r>
      <rPr>
        <sz val="14"/>
        <rFont val="黑体"/>
        <charset val="134"/>
      </rPr>
      <t>。</t>
    </r>
  </si>
  <si>
    <t>分析</t>
  </si>
  <si>
    <t>分析能力强的人喜欢探究事物的来龙去脉。他们有能力思考可能影响局面的诸多因素。</t>
  </si>
  <si>
    <t>测算结果：</t>
  </si>
  <si>
    <t>见结果页的测试结果，得分排序前五名的主题，就是你最主要的优势。</t>
  </si>
  <si>
    <t>统筹</t>
  </si>
  <si>
    <t>统筹力强的人兼具组织能力及确保组织成功的灵活性。他们善于合理安排现有资源以实现最大功效。</t>
  </si>
  <si>
    <t>信仰</t>
  </si>
  <si>
    <t>有强烈信仰的人必定拥有某种经久不变的核心价值观，并由此形成明确的生活目标。</t>
  </si>
  <si>
    <t>统率</t>
  </si>
  <si>
    <t>统率力强的人有大将风度。他们运筹帷幄，指挥若定。</t>
  </si>
  <si>
    <t>沟通</t>
  </si>
  <si>
    <t>沟通能力强的人善于将想法付诸言辞，他们是极佳的交谈者和生动的讲解者。</t>
  </si>
  <si>
    <t>竞争</t>
  </si>
  <si>
    <t>竞争性强的人参照他人的表现来衡量自身的进步。他们力争第一，陶醉于竞争的喜悦中。</t>
  </si>
  <si>
    <t>关联</t>
  </si>
  <si>
    <t>关联主题较强的人深信世间万物都彼此关联。没有巧合，凡事必有成因。</t>
  </si>
  <si>
    <t>回顾</t>
  </si>
  <si>
    <t>回顾主题较强的人喜欢追溯从前。他们通过揣摩过去来了解当前。</t>
  </si>
  <si>
    <r>
      <rPr>
        <sz val="12"/>
        <rFont val="黑体"/>
        <charset val="134"/>
      </rPr>
      <t>测试题共有</t>
    </r>
    <r>
      <rPr>
        <sz val="12"/>
        <rFont val="Arial"/>
        <charset val="134"/>
      </rPr>
      <t xml:space="preserve"> 180 </t>
    </r>
    <r>
      <rPr>
        <sz val="12"/>
        <rFont val="黑体"/>
        <charset val="134"/>
      </rPr>
      <t>组题，每组有</t>
    </r>
    <r>
      <rPr>
        <sz val="12"/>
        <rFont val="Arial"/>
        <charset val="134"/>
      </rPr>
      <t xml:space="preserve"> A / B </t>
    </r>
    <r>
      <rPr>
        <sz val="12"/>
        <rFont val="黑体"/>
        <charset val="134"/>
      </rPr>
      <t>两个选择，须在一个小时内答完。</t>
    </r>
  </si>
  <si>
    <r>
      <rPr>
        <sz val="12"/>
        <rFont val="黑体"/>
        <charset val="134"/>
      </rPr>
      <t>如果特别同意</t>
    </r>
    <r>
      <rPr>
        <sz val="12"/>
        <rFont val="Arial"/>
        <charset val="134"/>
      </rPr>
      <t xml:space="preserve"> A </t>
    </r>
    <r>
      <rPr>
        <sz val="12"/>
        <rFont val="黑体"/>
        <charset val="134"/>
      </rPr>
      <t>题请在答题表</t>
    </r>
    <r>
      <rPr>
        <sz val="12"/>
        <rFont val="Arial"/>
        <charset val="134"/>
      </rPr>
      <t xml:space="preserve"> A </t>
    </r>
    <r>
      <rPr>
        <sz val="12"/>
        <rFont val="黑体"/>
        <charset val="134"/>
      </rPr>
      <t>处填</t>
    </r>
    <r>
      <rPr>
        <sz val="12"/>
        <rFont val="Arial"/>
        <charset val="134"/>
      </rPr>
      <t xml:space="preserve"> 3</t>
    </r>
    <r>
      <rPr>
        <sz val="12"/>
        <rFont val="黑体"/>
        <charset val="134"/>
      </rPr>
      <t>，比较同意填</t>
    </r>
    <r>
      <rPr>
        <sz val="12"/>
        <rFont val="Arial"/>
        <charset val="134"/>
      </rPr>
      <t xml:space="preserve"> 2</t>
    </r>
    <r>
      <rPr>
        <sz val="12"/>
        <rFont val="黑体"/>
        <charset val="134"/>
      </rPr>
      <t>；</t>
    </r>
  </si>
  <si>
    <r>
      <rPr>
        <sz val="12"/>
        <rFont val="黑体"/>
        <charset val="134"/>
      </rPr>
      <t>如果特别同意</t>
    </r>
    <r>
      <rPr>
        <sz val="12"/>
        <rFont val="Arial"/>
        <charset val="134"/>
      </rPr>
      <t xml:space="preserve"> B </t>
    </r>
    <r>
      <rPr>
        <sz val="12"/>
        <rFont val="黑体"/>
        <charset val="134"/>
      </rPr>
      <t>题请在答题表</t>
    </r>
    <r>
      <rPr>
        <sz val="12"/>
        <rFont val="Arial"/>
        <charset val="134"/>
      </rPr>
      <t xml:space="preserve"> B </t>
    </r>
    <r>
      <rPr>
        <sz val="12"/>
        <rFont val="黑体"/>
        <charset val="134"/>
      </rPr>
      <t>处填</t>
    </r>
    <r>
      <rPr>
        <sz val="12"/>
        <rFont val="Arial"/>
        <charset val="134"/>
      </rPr>
      <t xml:space="preserve"> 3</t>
    </r>
    <r>
      <rPr>
        <sz val="12"/>
        <rFont val="黑体"/>
        <charset val="134"/>
      </rPr>
      <t>，比较同意填</t>
    </r>
    <r>
      <rPr>
        <sz val="12"/>
        <rFont val="Arial"/>
        <charset val="134"/>
      </rPr>
      <t xml:space="preserve"> 2</t>
    </r>
    <r>
      <rPr>
        <sz val="12"/>
        <rFont val="黑体"/>
        <charset val="134"/>
      </rPr>
      <t>；</t>
    </r>
  </si>
  <si>
    <r>
      <rPr>
        <sz val="12"/>
        <rFont val="黑体"/>
        <charset val="134"/>
      </rPr>
      <t>每组只能选一个答案，如果答案介于两者之间，在居中栏填</t>
    </r>
    <r>
      <rPr>
        <sz val="12"/>
        <rFont val="Arial"/>
        <charset val="134"/>
      </rPr>
      <t xml:space="preserve"> 1</t>
    </r>
    <r>
      <rPr>
        <sz val="12"/>
        <rFont val="黑体"/>
        <charset val="134"/>
      </rPr>
      <t>。</t>
    </r>
  </si>
  <si>
    <t>注：A、B、居中三个选项只填其一。</t>
  </si>
  <si>
    <t>No.</t>
  </si>
  <si>
    <t>A 组问题</t>
  </si>
  <si>
    <t>B 组问题</t>
  </si>
  <si>
    <t>答题表</t>
  </si>
  <si>
    <t>A</t>
  </si>
  <si>
    <t>居中</t>
  </si>
  <si>
    <t>B</t>
  </si>
  <si>
    <t>我乐于助人；</t>
  </si>
  <si>
    <t>我喜欢把东西拆开，了解其工作原理和运作的奥妙</t>
  </si>
  <si>
    <t>我喜欢与关注未来的人交往；</t>
  </si>
  <si>
    <t>我喜欢和历史学家交往</t>
  </si>
  <si>
    <t>我想要每个人都喜欢我；</t>
  </si>
  <si>
    <t>我想要人们崇拜我</t>
  </si>
  <si>
    <t>我力争第一；</t>
  </si>
  <si>
    <t>我重在参与</t>
  </si>
  <si>
    <t>我一贯努力工作；</t>
  </si>
  <si>
    <t>我做事进展较慢，但确保成效</t>
  </si>
  <si>
    <t>我思考自身的长处；</t>
  </si>
  <si>
    <t>我思考有待改进之处</t>
  </si>
  <si>
    <t>我是一个偏重情感的人；</t>
  </si>
  <si>
    <t>我是一个偏重理智的人</t>
  </si>
  <si>
    <t>我了解别人的个性特点；</t>
  </si>
  <si>
    <t>我能够接受各种类型的人</t>
  </si>
  <si>
    <t>主动与人交谈使我为难；</t>
  </si>
  <si>
    <t>与陌生人攀谈使我兴奋</t>
  </si>
  <si>
    <t>我对生活感觉极好；</t>
  </si>
  <si>
    <t>我认为我自己很能干</t>
  </si>
  <si>
    <t>我喜欢与人合作；</t>
  </si>
  <si>
    <t>我喜欢个人奋斗</t>
  </si>
  <si>
    <t>我能使别人有成就感；</t>
  </si>
  <si>
    <t>我能使别人感到我对他们很重要</t>
  </si>
  <si>
    <t>我按照自己的世界观去生活；</t>
  </si>
  <si>
    <t>我按照自己的理想去生活</t>
  </si>
  <si>
    <t>成为他人的知己使我满足；</t>
  </si>
  <si>
    <t>我希望成为他人的领导</t>
  </si>
  <si>
    <t>我不在意别人对我的所作所为怎么看，我做对自己有利的事；</t>
  </si>
  <si>
    <t>我始终清楚别人对我的看法</t>
  </si>
  <si>
    <t>我致力于发展；</t>
  </si>
  <si>
    <t>我信守自己的价值观</t>
  </si>
  <si>
    <t>我要自己的生活保持平衡；</t>
  </si>
  <si>
    <t>我希望我的家庭过最好的生活</t>
  </si>
  <si>
    <t>我每天多次谈到自己对未来的展望；</t>
  </si>
  <si>
    <t>我愿腾出时间思考未来</t>
  </si>
  <si>
    <t>我能够使别人兴奋起来；</t>
  </si>
  <si>
    <t>我能够使别人平静下来</t>
  </si>
  <si>
    <t>我一旦作出决定就必须付诸行动；</t>
  </si>
  <si>
    <t>我在行动之前需要确认自己行动无误</t>
  </si>
  <si>
    <t>我比大多数人更加专心去做要完成的事；</t>
  </si>
  <si>
    <t>我统观全局顺其自然</t>
  </si>
  <si>
    <t>我认为世上没有巧合，一切都事出有因；</t>
  </si>
  <si>
    <t>对我来说巧合指运气、机遇、侥幸、偶然</t>
  </si>
  <si>
    <t>我善于交谈；</t>
  </si>
  <si>
    <t>我善于倾听</t>
  </si>
  <si>
    <t>我喜欢表扬别人；</t>
  </si>
  <si>
    <t>我喜欢受到表扬</t>
  </si>
  <si>
    <t>我喜欢竞赛；</t>
  </si>
  <si>
    <t>我喜欢工作</t>
  </si>
  <si>
    <t>我思考问题脚踏实地，善于借助专家寻找正确答案；善于借助专家寻找正确答案；</t>
  </si>
  <si>
    <t>我思考问题善于创造，且有战略眼光，对规律和问题一目了然</t>
  </si>
  <si>
    <t>我充满活力，满怀喜悦和欢乐；</t>
  </si>
  <si>
    <t>我了解影响形势的所有因素</t>
  </si>
  <si>
    <t>我想成为一家大公司的总裁；</t>
  </si>
  <si>
    <t>我为别人牵线搭桥</t>
  </si>
  <si>
    <t>我有时会威逼别人；</t>
  </si>
  <si>
    <t>我在大人物面前感到渺小</t>
  </si>
  <si>
    <t>我能设身处地为别着想；</t>
  </si>
  <si>
    <t>我能够爱别人，爱所有的人</t>
  </si>
  <si>
    <t>我推动别人成功；</t>
  </si>
  <si>
    <t>我使别人快乐</t>
  </si>
  <si>
    <t>我是一个无忧无虑的人；</t>
  </si>
  <si>
    <t>我比我的朋友、同事更成熟</t>
  </si>
  <si>
    <t>我尽量与别人一起做事；</t>
  </si>
  <si>
    <t>我喜欢为别人张罗</t>
  </si>
  <si>
    <t>通过研究我的历史我可以预测未来；</t>
  </si>
  <si>
    <t>我的过去与我的未来无关</t>
  </si>
  <si>
    <t>我属于超越自我的宏观世界；</t>
  </si>
  <si>
    <t>我是一个脚踏实地的人</t>
  </si>
  <si>
    <t>我要我的工作和生活融为一体；</t>
  </si>
  <si>
    <t>工作只是一种谋生的手段</t>
  </si>
  <si>
    <t>有人不喜欢我时，我会感到沮丧；</t>
  </si>
  <si>
    <t>如果自己认为不对的事，就会感到内疚</t>
  </si>
  <si>
    <t>我组织；</t>
  </si>
  <si>
    <t>我分析</t>
  </si>
  <si>
    <t>我能把握对别人的谈话要点，使他们感觉良好；</t>
  </si>
  <si>
    <t>我通过倾听，使人们感觉获得理解</t>
  </si>
  <si>
    <t>我喜欢富于哲理的人；</t>
  </si>
  <si>
    <t>我喜欢和勤奋而富有成效的人交往</t>
  </si>
  <si>
    <t>我乐于使别人认识其自身的价值；</t>
  </si>
  <si>
    <t>我乐于使别人有成就感</t>
  </si>
  <si>
    <t>我靠直觉解决问题；</t>
  </si>
  <si>
    <t>我使用来源可靠的准确信息</t>
  </si>
  <si>
    <t>我对生活持有一种健康的怀疑态度；</t>
  </si>
  <si>
    <t>我相信自己与全人类相连</t>
  </si>
  <si>
    <t>我的朋友请我讲故事；</t>
  </si>
  <si>
    <t>我的朋友请我出主意</t>
  </si>
  <si>
    <t>我在上午工作效率最高；</t>
  </si>
  <si>
    <t>我在晚上工作效率最高</t>
  </si>
  <si>
    <t>我与大多数人比不相上下，无需工作更努力，更持久；</t>
  </si>
  <si>
    <t>我精力充沛，始终比大多数人工作更努力，更持久</t>
  </si>
  <si>
    <t xml:space="preserve">任何与体育有关的事都会强烈吸引我；   </t>
  </si>
  <si>
    <t>任何与人文思想有关的事都会强烈吸引我；</t>
  </si>
  <si>
    <t>我是一个十分整洁的人；</t>
  </si>
  <si>
    <t>我非常固执</t>
  </si>
  <si>
    <t>我通过与别人分享而成长；</t>
  </si>
  <si>
    <t>我通过学习而成长</t>
  </si>
  <si>
    <t>我按照自己对未来的书面规划而行动；</t>
  </si>
  <si>
    <t>我走一步，看一步</t>
  </si>
  <si>
    <t>我注重未来可能取得的成就；</t>
  </si>
  <si>
    <t>我注重应对未来可能发生的事件</t>
  </si>
  <si>
    <t>我不排斥任何人，从而不伤害他们的感情；</t>
  </si>
  <si>
    <t>我仔细挑选我的朋友</t>
  </si>
  <si>
    <t>我不自负，不在乎别人是否把我视为可信、专业化或成功人士；</t>
  </si>
  <si>
    <t>别人是否把我视为可信、专业化或成功人士对我很重要；</t>
  </si>
  <si>
    <t>我喜欢了解大战的起因；</t>
  </si>
  <si>
    <t>我喜欢了解50年后的世界经济</t>
  </si>
  <si>
    <t>我对我生活中的遇到事件进行分析；</t>
  </si>
  <si>
    <t>我对影响我生活的事件充满激情</t>
  </si>
  <si>
    <t>我通过发挥自身的才干取得进步；</t>
  </si>
  <si>
    <t>我通过克服自身的弱点取得进步；</t>
  </si>
  <si>
    <t>对我来说每件事都必须事先计划；</t>
  </si>
  <si>
    <t>我喜欢顺其自然</t>
  </si>
  <si>
    <t>我寻找各种不同的做事方法；</t>
  </si>
  <si>
    <t>我确立常规的做事方法</t>
  </si>
  <si>
    <t>我讨厌爱发脾气的人；</t>
  </si>
  <si>
    <t>我认为必要时可以发脾气</t>
  </si>
  <si>
    <t>我喜欢放松；</t>
  </si>
  <si>
    <t>我喜欢清扫</t>
  </si>
  <si>
    <t>有钱就是幸福；</t>
  </si>
  <si>
    <t>有钱不等于幸福</t>
  </si>
  <si>
    <t>我征求别人的意见；</t>
  </si>
  <si>
    <t>别人征求我的意见</t>
  </si>
  <si>
    <t xml:space="preserve">我认为平等对待所有人，并制定明确的规则至关重要；     </t>
  </si>
  <si>
    <t>我认为应了解每个人的特点，并进行个别激励</t>
  </si>
  <si>
    <t>我借助专家寻找正确答案；</t>
  </si>
  <si>
    <t>我对答案和问题一目了然</t>
  </si>
  <si>
    <t>我非常慷慨地称赞别人；</t>
  </si>
  <si>
    <t>我有选择地称赞别人</t>
  </si>
  <si>
    <t>我只有在竞争中赢得第一才能感到完全满意；</t>
  </si>
  <si>
    <t>我只要在比赛中名列前茅就感到高兴</t>
  </si>
  <si>
    <t>我善于使截然不同的人相互合作；</t>
  </si>
  <si>
    <t>我有平等对待人的天赋</t>
  </si>
  <si>
    <t>我尽量不离开自己舒适的领地；</t>
  </si>
  <si>
    <t>我是一个寻求刺激的人</t>
  </si>
  <si>
    <t>我能够体会同事的感受；</t>
  </si>
  <si>
    <t>我喜欢和同事们高谈阔论</t>
  </si>
  <si>
    <t>我关注人们的特点，而不在乎我是否喜欢他们；</t>
  </si>
  <si>
    <t>我不喜欢某些人，他们和我格格不入</t>
  </si>
  <si>
    <t>我凭感觉进行重要决策；</t>
  </si>
  <si>
    <t>我凭理智进行重要决策；</t>
  </si>
  <si>
    <t>我随着事情的发生采取行动；</t>
  </si>
  <si>
    <t>我分清事情的轻重缓急，然后采取行动</t>
  </si>
  <si>
    <t>我喜欢每个人；</t>
  </si>
  <si>
    <t>我要每个人都喜欢我</t>
  </si>
  <si>
    <t>根据当前的需要，我主要专著做好眼前的事；</t>
  </si>
  <si>
    <t>我着眼于未来的发展</t>
  </si>
  <si>
    <t>我每周设定业绩目标；</t>
  </si>
  <si>
    <t>我的工作根据当日需求而定</t>
  </si>
  <si>
    <t>我必须强迫自己才能学习；</t>
  </si>
  <si>
    <t>我对自己感兴趣的事能集中注意力</t>
  </si>
  <si>
    <t>我喜欢要求精确性的工作；</t>
  </si>
  <si>
    <t>我喜欢团队合作</t>
  </si>
  <si>
    <t>我研究别人的行为根源；</t>
  </si>
  <si>
    <t>我惯于自我反思</t>
  </si>
  <si>
    <t>我按部就班；</t>
  </si>
  <si>
    <t>我热情洋溢</t>
  </si>
  <si>
    <t>我对教育满怀热忱；</t>
  </si>
  <si>
    <t>我对消除暴利满怀热忱</t>
  </si>
  <si>
    <t>我喜欢别人听我讲话；</t>
  </si>
  <si>
    <t>我喜欢听别人讲话</t>
  </si>
  <si>
    <t>我很会讲故事；</t>
  </si>
  <si>
    <t>我善于辅导</t>
  </si>
  <si>
    <t>我喜欢讲话；</t>
  </si>
  <si>
    <t>我喜欢思考</t>
  </si>
  <si>
    <t>我是个完美主义者；</t>
  </si>
  <si>
    <t>我是个实干家</t>
  </si>
  <si>
    <t>我思考问题脚踏实地,广泛调查分析；</t>
  </si>
  <si>
    <t>我思考问题善于创造，且具有战略眼光</t>
  </si>
  <si>
    <t>我总是描准最出色的同行去改进自己；</t>
  </si>
  <si>
    <t>我愿意与欣赏我的长处的人交往</t>
  </si>
  <si>
    <t>我能同时照顾好几件事；</t>
  </si>
  <si>
    <t>我愿意为别人作出牺牲</t>
  </si>
  <si>
    <t>我善于交际；</t>
  </si>
  <si>
    <t>我喜欢与朋友一道努力工作</t>
  </si>
  <si>
    <t>我思维敏捷,经常提出独特的观点；</t>
  </si>
  <si>
    <t>我的谈话使人愉快</t>
  </si>
  <si>
    <t>我热爱学习；</t>
  </si>
  <si>
    <t>我喜欢外出</t>
  </si>
  <si>
    <t>我喜欢一切按照规章制度办事；</t>
  </si>
  <si>
    <t>我喜欢反复检查，确保一切井井有条</t>
  </si>
  <si>
    <t>我善于观察人们之间的区别；</t>
  </si>
  <si>
    <t>我平等对待所有人</t>
  </si>
  <si>
    <t>我的成功之道在于克服弱点，弥补缺陷；</t>
  </si>
  <si>
    <t>我的成功之道在于增强自身的才干</t>
  </si>
  <si>
    <t>在遇到困难，而必须圆满完成任务时，我往往亲自动手干；</t>
  </si>
  <si>
    <t>在遇到困难，而必须圆满完成任务时，我往往依靠团队成员的各自优势，而不事必躬亲</t>
  </si>
  <si>
    <t>我的性格外向；</t>
  </si>
  <si>
    <t>在必要时我能够作到开朗大方</t>
  </si>
  <si>
    <t>我喜欢解释事情；</t>
  </si>
  <si>
    <t>我喜欢做事情</t>
  </si>
  <si>
    <t>有时也可以歪曲事实；</t>
  </si>
  <si>
    <t>永远没有理由说谎</t>
  </si>
  <si>
    <t>我的工作已经满负荷；</t>
  </si>
  <si>
    <t>我还有很大潜力</t>
  </si>
  <si>
    <t>我以严谨著称；</t>
  </si>
  <si>
    <t>我以幽默感著称</t>
  </si>
  <si>
    <t>我正在创造我的未来；</t>
  </si>
  <si>
    <t>我正在研究我的未来</t>
  </si>
  <si>
    <t>我喜欢挑战别人；</t>
  </si>
  <si>
    <t>我喜欢鼓励别人</t>
  </si>
  <si>
    <t>我是一个非常在意隐私的人；</t>
  </si>
  <si>
    <t>我的生活如同一本开启的书</t>
  </si>
  <si>
    <t>我慷慨；</t>
  </si>
  <si>
    <t>我节俭</t>
  </si>
  <si>
    <t>我是一名领导者；</t>
  </si>
  <si>
    <t>我是一名很有成就的人</t>
  </si>
  <si>
    <t>我有时会奉承别人；</t>
  </si>
  <si>
    <t>我为人正直</t>
  </si>
  <si>
    <t>我能根据需要长时间学习；</t>
  </si>
  <si>
    <t>我能够集中注意力的时间很短</t>
  </si>
  <si>
    <t>我避免过分赞扬人，因此当我这样做时就显得很有份量；</t>
  </si>
  <si>
    <t>我慷慨地赞扬我的同事</t>
  </si>
  <si>
    <t>我愿意了解新事物；</t>
  </si>
  <si>
    <t>我的价值观很稳定</t>
  </si>
  <si>
    <t>我的生活有目的；</t>
  </si>
  <si>
    <t>我的生活充满欢乐</t>
  </si>
  <si>
    <t>我喜欢富有哲理的讨论；</t>
  </si>
  <si>
    <t>我喜欢制定目标的会议</t>
  </si>
  <si>
    <t>我喜欢独处；</t>
  </si>
  <si>
    <t>我想念我的朋友</t>
  </si>
  <si>
    <t>我想象未来；</t>
  </si>
  <si>
    <t>我理解造成当前情形的原因</t>
  </si>
  <si>
    <t>我能够实事求是地看待自己；</t>
  </si>
  <si>
    <t>我难于坦诚地看待自己</t>
  </si>
  <si>
    <t>我愿意花大量的时间和朋友们在一起；</t>
  </si>
  <si>
    <t>我喜欢专心做我认为重要的事情</t>
  </si>
  <si>
    <t>我小时候喜欢和一大帮朋友们一起玩；</t>
  </si>
  <si>
    <t>我小时候循规蹈矩从不给同伴或大人惹麻烦</t>
  </si>
  <si>
    <t>我喜欢招待别人；</t>
  </si>
  <si>
    <t>我答应别人的事一定要完成</t>
  </si>
  <si>
    <t>我讨厌受控制；</t>
  </si>
  <si>
    <t>我喜欢制定规矩</t>
  </si>
  <si>
    <t>我是一个好老师；</t>
  </si>
  <si>
    <t>我是一个好顾问</t>
  </si>
  <si>
    <t>我躲避大大咧咧的人；</t>
  </si>
  <si>
    <t>我不与不诚实的人交往</t>
  </si>
  <si>
    <t>情况不明时我会向心中有数的人求教；</t>
  </si>
  <si>
    <t>无论何时何地我总能悟出该作什么</t>
  </si>
  <si>
    <t>目标不明的人使我厌烦；</t>
  </si>
  <si>
    <t>我不喜欢和无法放松的相处</t>
  </si>
  <si>
    <t>我厌恶期限；</t>
  </si>
  <si>
    <t>我的责任感给我动力</t>
  </si>
  <si>
    <t>我鼓励别人；</t>
  </si>
  <si>
    <t>我强化别人</t>
  </si>
  <si>
    <t>我过于轻信别人；</t>
  </si>
  <si>
    <t>我过于雄心勃勃</t>
  </si>
  <si>
    <t>过去发生的事激励我；</t>
  </si>
  <si>
    <t>未来可能取得的成就激励我</t>
  </si>
  <si>
    <t>最后一刻压力使我思想高度集中；</t>
  </si>
  <si>
    <t>当我能提前完成任务时，我的思维更清晰</t>
  </si>
  <si>
    <t>我认为只要环境合适，大多数人都会偷窃；</t>
  </si>
  <si>
    <t>我认为偷窃的人应受到惩罚</t>
  </si>
  <si>
    <t>我的最大愿望是做自己热爱的工作；</t>
  </si>
  <si>
    <t>我的最大需求是被别人接受</t>
  </si>
  <si>
    <t>我是一个通情达理的人；</t>
  </si>
  <si>
    <t>我是一个有责任心的人</t>
  </si>
  <si>
    <t>我主要关注此时此地；</t>
  </si>
  <si>
    <t>我通过研究过去，增长见识</t>
  </si>
  <si>
    <t>我尽力而为使我感到满足；</t>
  </si>
  <si>
    <t>我立志有所建树</t>
  </si>
  <si>
    <t>我有强烈的求知欲；</t>
  </si>
  <si>
    <t>我需要被别人认知和理解</t>
  </si>
  <si>
    <t>我经常考虑因果关系；</t>
  </si>
  <si>
    <t>我遇到事情及时应对</t>
  </si>
  <si>
    <t>寻找失败的原因；</t>
  </si>
  <si>
    <t>享受目前的成功</t>
  </si>
  <si>
    <t>我喜欢收藏；</t>
  </si>
  <si>
    <t>我只收集我认为十分精美或特别有价值的东西</t>
  </si>
  <si>
    <t>我常常能提出建设性的意见；</t>
  </si>
  <si>
    <t>当解决了难题、排除了故障时我感到特有成就感</t>
  </si>
  <si>
    <t>我待人随和；</t>
  </si>
  <si>
    <t>我善于发挥不同的人的长处</t>
  </si>
  <si>
    <t>我花较多的时间考虑如何取得竞争优势；</t>
  </si>
  <si>
    <t>我花更多时间考虑如何应对未来可能发生的问题；</t>
  </si>
  <si>
    <t>我认为竞争才能发挥人的最大潜能，所以我刺激我的员工相互竞争</t>
  </si>
  <si>
    <t>我能使很多人在一起同甘共苦相互合作，并建立很深的友谊</t>
  </si>
  <si>
    <t>我常常从失败中总结教训；</t>
  </si>
  <si>
    <t>我只关注如何把我最擅长的事做得尽善尽美</t>
  </si>
  <si>
    <t>我尽力使别发挥其特长；</t>
  </si>
  <si>
    <t>我尽力使每个人得到进步</t>
  </si>
  <si>
    <t>把晚间、周末工作时间加起来，我通常一周工作40-50小时；</t>
  </si>
  <si>
    <t>把晚间、周末工作时间加起来，我通常一周工作60超过小时</t>
  </si>
  <si>
    <t>我轻松愉快；</t>
  </si>
  <si>
    <t>我严肃认真</t>
  </si>
  <si>
    <t>开始新任务对我很容易；</t>
  </si>
  <si>
    <t>我的问题是做事有始有终</t>
  </si>
  <si>
    <t>我能和所有的人和睦相处；</t>
  </si>
  <si>
    <t>我仔细分析我的合作伙伴,尽可能了解每个人的个性和背景</t>
  </si>
  <si>
    <t>我兴趣广泛，好奇心强；</t>
  </si>
  <si>
    <t>我专注把握我感兴趣的事做好，</t>
  </si>
  <si>
    <t>我观察生活；</t>
  </si>
  <si>
    <t>我主宰自己的生活</t>
  </si>
  <si>
    <t>为了解决一个问题，我常契而不舍地长时间工作；</t>
  </si>
  <si>
    <t>我最多只能集中精力工作学习一个小时左右</t>
  </si>
  <si>
    <t>我的成就非凡；</t>
  </si>
  <si>
    <t>我一贯创造积极成果</t>
  </si>
  <si>
    <t>我比别人更机智；</t>
  </si>
  <si>
    <t>我在很多人面前感到渺小</t>
  </si>
  <si>
    <t>我善于高效率地同时作几件事；</t>
  </si>
  <si>
    <t>我习惯于一次只做一件事</t>
  </si>
  <si>
    <t>我希望经常与我的上司和同事沟通；</t>
  </si>
  <si>
    <t>我希望有更多的自己独立支配的时间</t>
  </si>
  <si>
    <t>我善于构思并发起一个新项目；</t>
  </si>
  <si>
    <t>我善于组织落实</t>
  </si>
  <si>
    <t>我经常思考数字；</t>
  </si>
  <si>
    <t>我喜欢思考宏观形象的事情</t>
  </si>
  <si>
    <t>我偏爱讨论思想；</t>
  </si>
  <si>
    <t>我偏爱体育运动</t>
  </si>
  <si>
    <t>我的词汇富于哲理；</t>
  </si>
  <si>
    <t>我的词汇偏重实用</t>
  </si>
  <si>
    <t>我使用简短的词汇；</t>
  </si>
  <si>
    <t>我常用复杂抽象的词汇</t>
  </si>
  <si>
    <t>我的大脑不停地思考；</t>
  </si>
  <si>
    <t>我的身体需要经常活动</t>
  </si>
  <si>
    <t>我喜欢听讲；</t>
  </si>
  <si>
    <t>我喜欢小组讨论</t>
  </si>
  <si>
    <t>帮助别人解决难题，排除故障使我感到快乐；</t>
  </si>
  <si>
    <t>从数据中发现规律使我感到兴奋；</t>
  </si>
  <si>
    <t>我关注分析时事；</t>
  </si>
  <si>
    <t>我不花时间去关注时事</t>
  </si>
  <si>
    <t>我总能及时完成任务；</t>
  </si>
  <si>
    <t>我言而有信，说到做到</t>
  </si>
  <si>
    <t>一个新创意会使我激动不已；</t>
  </si>
  <si>
    <t>完成一件交给我的任务会使我激动不已</t>
  </si>
  <si>
    <t>和别人一起时我觉得我的点子最多；</t>
  </si>
  <si>
    <t>我喜欢和别人一起讨论解决问题的办法</t>
  </si>
  <si>
    <t>我能详细解释复杂过程；</t>
  </si>
  <si>
    <t>我有化繁为简的天赋</t>
  </si>
  <si>
    <t>我能一晚读完200页的书；</t>
  </si>
  <si>
    <t>我阅读速度缓慢，因为我要琢磨理解书中的内容</t>
  </si>
  <si>
    <t>取胜最重要；</t>
  </si>
  <si>
    <t>按规矩做事最重要</t>
  </si>
  <si>
    <t xml:space="preserve">我的哲学指引我的生活；                       </t>
  </si>
  <si>
    <t>我能主导自己的生活</t>
  </si>
  <si>
    <t>我每周至少花5个小时独自思考；</t>
  </si>
  <si>
    <t>我喜欢和别人在一起</t>
  </si>
  <si>
    <t xml:space="preserve">我了解自身长处超过弱点；                     </t>
  </si>
  <si>
    <t>我了解自身弱点超过长处</t>
  </si>
  <si>
    <t>我不在乎别人是否喜欢我；</t>
  </si>
  <si>
    <t>我热爱人们</t>
  </si>
  <si>
    <t>我喜欢和别人谈起我的旅行经历；</t>
  </si>
  <si>
    <t>我不断策划我的下一个旅行目标</t>
  </si>
  <si>
    <t>我经常以我的亲身经历教育别人；</t>
  </si>
  <si>
    <t>我喜欢树立榜样激励别人</t>
  </si>
  <si>
    <t>我认为一个好的领导就是要能够调动别人做事；</t>
  </si>
  <si>
    <t>我认为一个好的领导就是要帮助别人更好地做事</t>
  </si>
  <si>
    <t>我善于处理纷繁复杂的事务；</t>
  </si>
  <si>
    <t>我喜欢制定统一的常规制度</t>
  </si>
  <si>
    <t>我习惯于根据统计数字预测未来；</t>
  </si>
  <si>
    <t>我习惯于根据当前形势预测未来</t>
  </si>
  <si>
    <t>我特别善于通过例举过去已取得的成就来鼓舞别人；</t>
  </si>
  <si>
    <t>我特别善于通过描绘未来远景鼓励别人</t>
  </si>
  <si>
    <t>我有几个特别要好的老朋友；</t>
  </si>
  <si>
    <t>我认识的很多朋友，但几乎没有交情很深的</t>
  </si>
  <si>
    <t>我习惯于事先想好将要采购商品的标准，只要看到基本符合我需求的商品立刻就买；</t>
  </si>
  <si>
    <t>我事先不考虑太多，到了商场现场，调查一遍之后，再决定购买</t>
  </si>
  <si>
    <t xml:space="preserve">遇到故障或困难时，我常常一马当先；           </t>
  </si>
  <si>
    <t>遇到故障或困难时,我往往首先想到找个能人来解决</t>
  </si>
  <si>
    <t>欢迎使用Excel《盖洛普优势识别器》测试系统</t>
  </si>
  <si>
    <t>测试结果</t>
  </si>
  <si>
    <t>测试结果：</t>
  </si>
  <si>
    <t>NO</t>
  </si>
  <si>
    <t>排名</t>
  </si>
  <si>
    <t>优势</t>
  </si>
  <si>
    <t>得分</t>
  </si>
  <si>
    <t>答题的过程中以下各项优势均随着答题情况不断变化，
    答题完成后的排序就是您性格优势的排列顺序。</t>
  </si>
  <si>
    <t>审慎</t>
  </si>
  <si>
    <t>他们每做一个决定均慎之又慎，并设想所有的困难。</t>
  </si>
  <si>
    <t>伯乐</t>
  </si>
  <si>
    <t>他们善于赏识并发掘他人的潜能。他们能够察觉任何细微的进步，并乐在其中。</t>
  </si>
  <si>
    <t>纪律</t>
  </si>
  <si>
    <t>纪律性强的人做事井然有序，有章有法。他们建立规程，遵章守纪。</t>
  </si>
  <si>
    <t>体谅</t>
  </si>
  <si>
    <t>他们能够设身处地地体会他人的情感。</t>
  </si>
  <si>
    <t>公平</t>
  </si>
  <si>
    <t>公平心强的人深知应平等待人。他们确立并坚持这一准则，即公平地对待每一个人。</t>
  </si>
  <si>
    <t>专注</t>
  </si>
  <si>
    <t>专注力强的人能够确定方向，贯彻始终，及时调整，矢志不渝。他们先确定重点，再着手行动。</t>
  </si>
  <si>
    <t>前瞻</t>
  </si>
  <si>
    <t>对于有较强前瞻力的人而言，未来令人心潮澎湃。他们用对未来的憧憬激励周围的人。</t>
  </si>
  <si>
    <t>和谐</t>
  </si>
  <si>
    <t>和谐主题较强的人渴求协调一致。他们避免冲突，寻求共识。</t>
  </si>
  <si>
    <t>理念</t>
  </si>
  <si>
    <t>他们痴迷于各种理念，能够从貌似毫无关联的现象中找出其相互联系。</t>
  </si>
  <si>
    <t>34 项 优 势 描 述</t>
  </si>
  <si>
    <t>包容</t>
  </si>
  <si>
    <t>包容力强的人善于接纳人。他们关心那些被忽略的人们，并让他们溶入集体。</t>
  </si>
  <si>
    <t>个别</t>
  </si>
  <si>
    <t>个别主题较强的人对每个人的与众不同之处兴趣盎然。他们善于琢磨如何将个性迥异的人组合在一起，创造出最大成效。</t>
  </si>
  <si>
    <t>搜集</t>
  </si>
  <si>
    <t>搜集主题较强的人充满好奇。他们通常喜欢搜集、整理各种各样的信息。</t>
  </si>
  <si>
    <t>思维</t>
  </si>
  <si>
    <t>思维能力较强的人的最大特点是长于思考。他们勤于自省，敏于探讨。</t>
  </si>
  <si>
    <t>学习</t>
  </si>
  <si>
    <t>学习能力强的人有旺盛的求知欲，渴望不断提高自我。尤其令他们激动的，是求知的过程而非结果。</t>
  </si>
  <si>
    <t>完美</t>
  </si>
  <si>
    <t>完美主题较强的人专注于激励个人和团体追求卓越。他们相信强中自有强中手。</t>
  </si>
  <si>
    <t>积极</t>
  </si>
  <si>
    <t>积极的人浑身充满了富有感染力的热情。他们用快乐、向上来感召周围的人。</t>
  </si>
  <si>
    <t>交往</t>
  </si>
  <si>
    <t>交往能力强的人喜欢人际间的亲密关系。他们最大的满足是与朋友一道为实现一个目标而同舟共济。</t>
  </si>
  <si>
    <t>责任</t>
  </si>
  <si>
    <t>责任心强的人言必有信。他们信奉的价值观是诚实、忠诚。</t>
  </si>
  <si>
    <t>排难</t>
  </si>
  <si>
    <t>排除故障的行家里手善于发现问题并解决问题。</t>
  </si>
  <si>
    <t>自信</t>
  </si>
  <si>
    <t>自信心强的人对自身的能力充满信心。他们有自己的处世准则，做决定时成竹在胸。</t>
  </si>
  <si>
    <t>追求</t>
  </si>
  <si>
    <t>追求主题较强的人希望在别人的眼中非同凡响。他们独立性强，渴望被承认。</t>
  </si>
  <si>
    <t>战略</t>
  </si>
  <si>
    <t>战略主题较强的人足智多谋。针对不同的方案，能迅速找出相关的模式及结果。</t>
  </si>
  <si>
    <t>取悦</t>
  </si>
  <si>
    <t>取悦主题较强的人喜欢结交新人并博取其欢心。能够在人际交往中打破坚冰、建立联系令他们倍感快慰。</t>
  </si>
  <si>
    <t>%</t>
  </si>
  <si>
    <t>1、成就</t>
  </si>
  <si>
    <t xml:space="preserve">成就主题较强的人大都精力充沛，锲而不舍。他们乐于忙忙碌碌并有所作为。 </t>
  </si>
  <si>
    <t>你的成就主题说明你的内在动力。它表明你始终渴望有所建树。你感到每一天似乎都从零开始。一天结束时，你必须获得某种有形的成果，如此才能感觉良好。你所谓的“每一天”指的是所有的日子-工作日、周末、休假日。无论你多幺需要歇一天，如果这一天你无所事事，你就会感到不满意。你体内有团烈火在熊熊燃烧。它促使你多做事情，多出成果。完成一项任务后，这火会暂时减弱，但很快重新燃起，迫使你朝一个又一个新的目标不断攀登。你对成就的不懈追求或许缺乏逻辑；甚至漫无边际。然而，它却是永无满足的，并将伴随你一生。作为一名追求成就的人，你必须学会与这种隐隐的不满足感相处。它毕竟不无益处。它给你动力，使你能长久工作而不知疲倦。它不失时机地使你奋起，去迎接新的任务和新的挑战。它为你输入充沛的精力，帮助你为你所领导的班组设定工作进度和业绩指标。它是推动你不断前进的主题。</t>
  </si>
  <si>
    <t xml:space="preserve">2信仰－－自我实现的信徒 </t>
  </si>
  <si>
    <t xml:space="preserve">有强烈信仰的人必定拥有某种经久不变的核心价值观，并由此形成明确的生活目标。 </t>
  </si>
  <si>
    <t>如果你有很强的信仰主题，那你就会持有某些经久不变的核心价值。这些价值因人而异，但你的信仰通常使你关注家庭，乐于助人，甚至追求灵性。无论对己对人，你都珍视责任和伦理。这些核心价值以多种方式影响你的行为。它们赋予你的生活以意义和满足-在你看来，金钱和名望并不完全代表成功。它们为你指明方向，指引你排除生活中的种种引诱和干扰，朝着恒定的目标前进。这种恒定性是你建立所有关系的基础。你的朋友认为你为人可靠；他们会说，“我知道你是什幺立场。”你的信仰为你赢得信任。它还要求你从事与你的价值观相符的工作。你的工作必须有意义；必须“有分量”。因为你受到你的信仰的指引，所以你的工作唯有使你有机会实践自身价值观时才是有意义的。</t>
  </si>
  <si>
    <t xml:space="preserve">3、自信 </t>
  </si>
  <si>
    <t xml:space="preserve">自信心强的人对自身的能力充满信心。他们有自己的处世准则，做决定时成竹在胸。 </t>
  </si>
  <si>
    <t>在你的心灵最深处，你对自己的优势充满信心。你深知你是个有能力的人-有能力冒风险，有能力接受新的挑战，有能力提出要求，并且更重要的是，有能力履行诺言。然而不仅如此，由于具有自信的主题，你不仅对自己的能力，而且对自己的判断充满信心。当你观察世界的时候，你深知你的视点与众不同。而由于没有人看问题的角度与你完全一样，你知道没有人能为你作决定；也没有人能告诉你如何去思考。他们能够引导，能够建议，但只有你才是自己生活的主宰。只有你才有权作结论，下决心，去行动。这种权威，这种对自身生活方向的终极负责，并不使你畏惧。相反，它对于你顺乎自然。无论碰到什幺情况，你似乎总能悟出该做什幺。它也许并不适用于所有的人，但它是特定形势下你该做的事情。这一主题给你罩上一层神机妙算的光环。你与许多人不同，从不轻易被别人的论点所左右，无论他们多幺巧言令色。这种自信既可能深藏不露，也可能一目了然，这取决于你的其它主题，。但它根深蒂固，牢不可破。一如舰船的龙骨，它能抵御各种压力，使你把稳航向。</t>
  </si>
  <si>
    <t xml:space="preserve">4、行动 </t>
  </si>
  <si>
    <t xml:space="preserve">行动主题较强的人能够将想法付诸行动。他们往往缺乏耐心。 </t>
  </si>
  <si>
    <t>“我们什么时候可以开始？”你最爱问这个问题。你急不可耐地要行动。你也许会同意，分析自有它的作用，争辩和讨论有时亦不无真知灼见。但你深知，没有行动，一切皆为空谈。唯有行动才能做事情。唯有行动才能出业绩。一旦作出决定，你就必须行动。别人或许会担忧，“还有些事我们不知道，”但是你不会因此而放慢步伐。如果决定通过城区，你便认定到达目的地的最快途径就是从一个红绿灯走到下一个红绿灯，而不会坐等所有的灯都变绿。此外，在你看来，行动和思考并不互相排斥。事实上，在你的行动才干指引下，你确信最好的办法是干中学。你作出决定，采取行动，检验结果，继而学习进步。在学习的基础上，你决定你未来一步接一步的行动。如果你没有作出反应的对象，你怎么能够进步？你的答案很简单，不能。你必须不断冲锋陷阵。你必须不断走出下一步。否则，你如何保持思维敏锐和耳聪目明？这就是你的底线：你深知评判你的标准不是你的言辞，也不是你的思想，而是你的行动。你丝毫不为此感到畏惧。恰恰相反，你感到快慰。</t>
  </si>
  <si>
    <t xml:space="preserve">5、专注,目标明确－－人生旅程的导游 </t>
  </si>
  <si>
    <t xml:space="preserve">专注力强的人能够确定方向，贯彻始终，及时调整，矢志不渝。他们先确定重点，再着手行动。 </t>
  </si>
  <si>
    <t>“我正走向何方？”你扪心自问。这一问题每天都萦绕脑际。在专注主题的指引下，你需要一个明确的目的地。没有它，你很快就会对自己的生活和工作一筹莫展。因此，每年，每月，甚至每周，你都做你爱做的事-制定目标。你的目标，无论长期或短期，都有相同的特点。它们都很具体，都能评测，并且都有进度表。这些目标如同罗盘，帮助你确定重点，并进行必要的修正，以保持航向。你的专注主题十分强大，因为它迫使你进行过滤-本能地判断某个行动是否有助于你达到目标；无助于此的便被放弃。你的专注最终迫使你提高效率。无庸讳言，这种模式的另一面是，它使你难以忍受拖延、障碍，甚至迂回，而无论它们多幺引人。这使你成为一名极其可贵的团队成员。当别人开始溜向“有趣的”岔道时，你会及时把他们带回正路。你的专注主题提醒每个人，如果一件事不能帮助大家通往目的地，那它就无关紧要。而如果它无关紧要，那就不值得为它浪费时间。你确保每个人都目不斜视。</t>
  </si>
  <si>
    <t xml:space="preserve">6、追求 </t>
  </si>
  <si>
    <t xml:space="preserve">追求主题较强的人希望在别人的眼中非同凡响。他们独立性强，渴望被承认。 </t>
  </si>
  <si>
    <t>你希望在别人的眼中非同凡响。你希望获得真正意义上的“认可”。你希望自己的意见受到重视。你希望出人头地。你希望出名。你尤其希望别人了解和赞赏你的独特优势。你渴望别人赞扬你是一个可信赖和专业化的成功人士。同样，你希望与可信赖和专业化的成功人士交往。如果他们不是这样，你就会推动他们朝此努力，直到成功-否则你就会弃他们而去。你天性独立，希望自己的工作是一种生活方式而不仅仅是一种职业。在工作中，你希望获得充分的自由-按你自己的方式做事的自由。你对自己的渴望感受强烈并付诸行动。为此，你的生活中充斥着你所“需要”，“渴求”，或“热爱”的东西。无论你的目标如何-每个人的目标都与众不同-你的追求主题都将不断将你升高，摆脱平庸，通往卓越。这个主题推动你不断追求。</t>
  </si>
  <si>
    <t xml:space="preserve">7、适应,适应力强－－处变不惊的鬼灵精 </t>
  </si>
  <si>
    <t xml:space="preserve">适应性强的人倾向于“随大流”。他们活在“当前”，接受现实，随遇而安。 </t>
  </si>
  <si>
    <t>你生活在当前。你不把未来视为固定的目的地。相反，你认为未来是你在现有选择的基础上创造出来的。因此，你通过选择逐一发现你的未来。这并不意味着你没有计划。你很可能有。但你的适应主题使你能够自愿地对眼前需求作出反应，即使此举使你偏离原有计划。你与有的人不同，并不讨厌突如其来的要求或出乎意料的曲折。你对此有料在先，它是不可避免的。事实上，在某种意义上，你期待它们发生。你本质上是一个非常灵活的人，即使工作的不同需求把你东拉西扯，你仍能保持高效率。 适应主题的人表现为高度的灵活性。不仅面对变化可以保持高效率，而且事实上喜欢应对不断变化的情况，甚至自己都会去制造变化。具备适应主题的人对长远计划通常是不屑一顾的。很对很对啊。我不仅不喜欢做长远计划，连今天出门是去看电影还是逛公园一般也定不下来。要不是为了考虑到其它人，我大概会乐于在每一个最后时刻改变主意。对于某些人来讲，这种“脚踩西瓜皮”的秉性几乎无法忍受，但是以后我要告诉他们：这叫做“适应”！Adaptive，那可是如今 IT 界最时髦的词汇，包括我所属的那个大公司都以 Adaptive 为核心理念，所以我看公司以后就干脆把我当最优质产品卖出去算了——一个能“适应”的好货色。</t>
  </si>
  <si>
    <t xml:space="preserve">8、纪律 </t>
  </si>
  <si>
    <t xml:space="preserve">纪律性强的人做事井然有序，有章有法。他们建立规程，遵章守纪。 </t>
  </si>
  <si>
    <t>你的世界必须可以预测，必须井井有条，规划有序。因此，你本能地将你的世界规范化。你建立常规，制定时间表，规定完成任务的日期。你把长期项目划分为一系列具体的短期计划，然后锲而不舍地逐一实施。你并不一定整洁有序，但你的确要求精确。面对生活中内在的混乱，你需要建立控制。常规、时间表、规范-这一切都有助于建立控制感。别人由于缺乏这种纪律主题，有时可能厌恶你建立秩序的需求。但这未必导致冲突。你必须了解，并非人人都象你一样渴求预测-他们自有其做事之道。同样，你也可以帮助他们理解、甚至赞赏你对规思维 思维能力较强的人的最大特点是长于思考。他们勤于自省，敏于探讨。 范的需求。你讨厌意外，憎恶失误，建立常规，注重细节-所有这些无须被视为意欲束缚别人，而应被视为你的一种本能的方法，旨在摈除生活的诸多诱惑，确保进步和效益。</t>
  </si>
  <si>
    <t xml:space="preserve">9、排难 </t>
  </si>
  <si>
    <t xml:space="preserve">排除故障的行家里手善于发现问题并解决问题。 </t>
  </si>
  <si>
    <t>你热衷于排忧解难。其它人遇到新困难往往一筹莫展，而你却干劲倍增。面对分析症状、判断问题和解决问题的挑战，你无比兴奋。你可能会喜欢实际的、抽象的、或个人的问题。你可能会寻找你过去多次遇到并自信能解决的问题。或许当你遇到复杂而陌生的问题时最为激奋。你的具体偏好将取决于你的其它优势和经历。但可以肯定的是，你喜欢手到病除。判断故障，排除问题，起死回生，使你其乐无穷。你本能地感到，没有你的介入，这个东西-这部机器、这个人、这家公司很可能会停转。你修好了它。救活了它。使它重燃生命之火。或者用你自己的话说，你拯救了它。</t>
  </si>
  <si>
    <t xml:space="preserve">10、回顾，继往开来－－现在与未来的过客: </t>
  </si>
  <si>
    <t xml:space="preserve">回顾主题较强的人喜欢追溯从前。他们通过揣摩过去来了解当前。 </t>
  </si>
  <si>
    <t>你往回看。你往回看是为了了解当前。你往回看是为了预测未来。你想知道这一切都是如何开始的，所以你购买历史书和人物传记，并且向熟人打听其过去的经历。你往回看，因为答案可以在过去找到。从你的制高点看去，当前变动无常，杂乱无章。唯有回首以往-回到策划之初-当前才重归平稳。以往是一个简明的时代，一个描画蓝图的时代。你回顾以往，目睹蓝图浮现，继而重归初衷。这些蓝图和初衷后来被装饰得面目全非，无从辨认-但是你的回顾主题使它们原形再现。这一认识使你充满信心。你排除了干扰，在了解事物内涵的基础上明智决策。由于了解同事们的来龙去脉，你就能更好地与其合作。并且，由于你看到未来的种子播撒在过去，反而更加明察未来。面对新人和新形势，你需要一些时间来适应。但你必须给自己留出这些时间。你必须迫使自己问这些问题。你必须让蓝图再现，因为无论情况如何，如果你未见蓝图，你就不可能尽你所能。</t>
  </si>
  <si>
    <t xml:space="preserve">11、公平,讲究公平－－平等的守护者 </t>
  </si>
  <si>
    <t xml:space="preserve">公平心强的人深知应平等待人。他们确立并坚持这一准则，即公平地对待每一个人。 </t>
  </si>
  <si>
    <t>平衡对你很重要。你深知需要公平待人，无论其社会地位如何。因此，你不希望天平过于倒向任何个人。你确信这将导致自私自利和个人至上，使某些人凭借关系或背景，或通过贿赂而获得不公平的优势。你对此深恶痛绝。你自视抵御这种倾向的卫士。与这种裙带世界截然相反，你深信只有在规则明确而人人适用的恒定的环境中，才能发挥每个人的最大潜能。因为在这样的环境中，每个人都了解对其的期待，一切都可以预测并不偏不倚。一切都公平。在这里，每个人将有平等的机会施展才华。</t>
  </si>
  <si>
    <t xml:space="preserve">12、审慎,深思熟虑－－步步为营的沉思者 </t>
  </si>
  <si>
    <t xml:space="preserve">他们每做一个决定均慎之又慎，并设想所有的困难。 </t>
  </si>
  <si>
    <t>你总是小心翼翼、保持高度警戒、注重隐私。你知道世事难料。尽管一切看似井然有序，你仍觉得危机处处。你不否认危险的存在，反而一一挑明危险所在。如此一来，每种危险都能加以鉴定、评估，终能减轻其危险性。因此，你是一个相当严肃的人，以保留的态度看待人生。例如，你喜欢事先计画，预期可能出错之处。你择友谨慎，只跟特定人士谈个人的隐私。你不会过度赞扬或肯定别人，以免遭人误会。如果有人因为你不像其它人一样感情外露而不喜欢你，你也觉得无所谓。对你而言，生命不是一场比人气的竞赛。生命犹如地雷区，依个人抉择，有人可以毫不在乎地跑过去，但是你会找出危险、衡量相关冲击，然后小心踏出步伐，缓步前进。</t>
  </si>
  <si>
    <t xml:space="preserve">13、前瞻 </t>
  </si>
  <si>
    <t xml:space="preserve">对于有较强前瞻力的人而言，未来令人心潮澎湃。他们用对未来的憧憬激励周围的人。 </t>
  </si>
  <si>
    <t>“如果这样，那该多好？”你是个喜欢遥望天际的人。未来使你着迷。未来如同墙壁上的投影，在你眼中维妙维肖。这幅细致入微的图画催你奋进，奔向明天。虽然未来图景的具体内容取决于你的其它优势和兴趣-更好的产品，更好的队伍，更好的生活，或更好的世界-但它将永远给你以灵感。你是一个幻想家，能看到未来的种种可能，并珍视这样的想象。当现实使你一筹莫展，而你周围的人又过于世俗时，你就会唤起对未来的憧憬，继而精力倍增，同时振奋别人。事实上，人们往往期待你描述对未来的种种遐想。他们希望看到一幅画卷，来提高他们的眼界，继而燃起激情。你能为他们描绘这幅画卷。不断实践。字斟句酌。越生动越好。人们将拥抱你所带来的希望。</t>
  </si>
  <si>
    <t xml:space="preserve">14、搜集－－嗜好收藏－－惜物如命的收藏家: </t>
  </si>
  <si>
    <t xml:space="preserve">搜集主题较强的人充满好奇。他们通常喜欢搜集、整理各种各样的信息。 </t>
  </si>
  <si>
    <t xml:space="preserve">你充满好奇。你爱攒东西。你可能搜集各种信息，譬如词汇、事实、书籍和语录。你也可能搜集有形的东西，如邮票、标本、古董、老照片等等。无论你搜集什么，你这样做是因为你感兴趣。你好奇心不泯。世界的激动人心之处就在于其多姿多彩，变幻无穷。如果你博览群书，你的目的未必是完善你的理论，而是积累更多的信息。如果你喜欢旅行，那是因为在新的地点你能发现新奇的文物和轶事。这一切均可供收藏。为什么它们值得收藏呢？你在收藏之时，常常说不清何时或为何需要它们。但是，未来会怎样？是啊，谁能说准它们什么时候用得着呢？由于想到各种用途，你什么都不舍不得丢弃。所以你不断搜集、整理和储存坛坛罐罐。这很有趣。它使你思维常新。而且，也许某一天，也许就在这几天，有些东西会变得很珍贵。 </t>
  </si>
  <si>
    <t xml:space="preserve">15、战略，思考周严－－策略在握的先知 </t>
  </si>
  <si>
    <t xml:space="preserve">战略主题较强的人足智多谋。针对不同的方案，能迅速找出相关的模式及结果。 </t>
  </si>
  <si>
    <t>战略主题使你能够透过日常琐碎，寻找前进的捷径。它不是一种可以教授的技能，而是一种与众不同的思维方式，一种独特的世界观。有了这种世界观，当别人被复杂的事物所迷惑时，你却能识别其中的规律。你将规律牢记在心，尝试各种不同的方案，不断问自己“如果发生这种情况会怎样？如果发生那种情况会怎样？”这些不断出现的问题帮助你预防不测。如此你便能够精确判断潜在的障碍。你看清各条路径的走向，就能进行筛选。你筛去死路。你筛去直通屏障的路线。你筛去通往混乱和迷茫的路线。你不断筛选，直到你选定一条路线-这就是你的战略。有了战略武装，你开始出击。这就是你的战略主题的运作模式：“倘若……会怎样？”筛选，出击。</t>
  </si>
  <si>
    <t xml:space="preserve">16、分析 </t>
  </si>
  <si>
    <t xml:space="preserve">分析能力强的人喜欢探究事物的来龙去脉。他们有能力思考可能影响局面的诸多因素。 </t>
  </si>
  <si>
    <t>你的分析主题向别人挑战：“证明它。告诉我为什幺你的结论是对的。”面对此种质疑，某些人将发现他们自鸣得意的理论会萎缩和瓦解。而这恰恰是你的目的。你无意扼杀别人的观点，但你认定，他们的理论必须经得起检验。你自视客观和冷静。你喜欢数据，因为它们既不包含特定的价值观念，又没有特殊的目的，且未加修饰。有了数据的武装，你就寻找模式和关联。你想了解某些模式如何互相影响。你的问题是：它们如何组合？它们有什幺结果？这个结果是否与所提出的理论或面临的情形相符？你将表层逐一剥开，直至揭示其中的根源。别人认为你思维逻辑并严谨。久而久之，他们就习惯于请你用你的严谨思维来剖析某些人的“异想天开”和“愚钝”。但愿你的分析不要表述得太尖刻。否则，如果“异想天开”的是他们自己，他们就会刻意回避你。</t>
  </si>
  <si>
    <t xml:space="preserve">17、思维,愛動腦－－看看別人，想想自己的獨行俠 </t>
  </si>
  <si>
    <t xml:space="preserve">思维能力较强的人的最大特点是长于思考。他们勤于自省，敏于探讨。 </t>
  </si>
  <si>
    <t>你喜欢思考。你喜欢思想活动。你喜欢锻炼你的大脑“肌肉”，把它们四面抻扯。这种对思想活动的需求有可能是专注的，专注的焦点取决于你的其它优势。例如，你可能努力解决一个问题，或酝酿一个创意，或了解另一个人的感受。另一方面，这种思维活动很可能漫无边际。思维的主题并不一定限定你思考的具体内容。它只是说你喜欢思考。你是一个喜欢独处的人，因为这样你才能沉思冥想。你性格内向。在某种意义上，你是自己最好的伴侣，因为你扪心自问，并在自己身上测试答案。当你把自己的实际作为与你所思考的所有想法相比时，你的这种自省可能会使你略为不满。但此种自省也可能导致你关注现实问题，例如当日所发生的事件，或你准备进行的一场谈话。无论它把你引向何方，这种不停的思考是你生活中的一个固定内容。</t>
  </si>
  <si>
    <t xml:space="preserve">18、统筹－－讲求效率与弹性的模范生 </t>
  </si>
  <si>
    <t xml:space="preserve">统筹力强的人兼具组织能力及确保组织成功的灵活性。他们善于合理安排现有资源以实现最大功效。 </t>
  </si>
  <si>
    <t xml:space="preserve">你是一个杂耍演员。当你面对一个涉及多种因素的复杂环境时，你喜欢把所有这些因素都抛向空中，将它们反复排列，直至你确信形成最佳组合。在你看来，此种行为毫无特别之处。你不过是试图琢磨出做事的最佳方案而已。然而，其它人由于缺乏这一主题，对你的杂耍本领瞠目结舌。他们会问，“你的脑袋里怎幺能同时装这幺多事情呢？”“你怎幺能保持如此灵活，如此不假思索地放弃经过深思熟虑的计划，转而采取你突发奇想的全新方案呢？”但是你无法想象其它的做事方式。你是高度灵活性的杰出代表。如果你发现一个更好的转机地点或更优惠的票价，你就会在最后一刻突然改变旅行计划。同样，你会绞尽脑汁，思考完成一个新项目的最佳人员和资源组合。你事无巨细，总在寻找最佳配置。勿庸置疑，形势越是变化无常，你越能出神入化。有的人面对不测，会一口咬定，经过精心策划的计划不容更改，而另一些人则躲进现有的规则和程序中。你却不然。你奋身投入混乱的局面，设计新方案，搜寻新捷径，思考新合作-不停地玩杂耍。因为说到底，总有可能找到更好的方案。 </t>
  </si>
  <si>
    <t>统筹。同意吧？这可绝对算得上一个领导才能。具备这个优势的人能够在涉及多种因素的复杂环境中找出最佳的解决方案。总之，是个处理纷繁复杂局面的能手。而这个优势和第 3 名的收集有着相辅相成的妙处。收集，意味着对一切信息和事物的爱好，所以我显然是一个喜欢并且善于混水摸鱼的人。把局面搞乱是我的特长也是我的兴趣所在，而我就是那个能够乱中取胜的人。当其它人面对千头万绪手足无措的时候，也就是我大展身手的时刻了。了解自己在这两方面的优势是非常重要的，因为我总算明白了为什幺 J 老是觉得我还没有把项目整理好，而我觉得一切已经足够清晰了。道理很简单，他就没有我这样的优势。明天我就要告诉他，虽然他会非常痛苦地发现我总是把一大堆的细枝末节绞和在一起，可是他必须相信我能够在大线团里面找到那个线头。而我不愿意做什幺管理流程也是因为那玩意和我的优势不﻿符，他应该去找具有“纪律”优势的人来做管理流程，其实我看他自己就是那幺一个人。</t>
  </si>
  <si>
    <t xml:space="preserve">19、关联 </t>
  </si>
  <si>
    <t xml:space="preserve">关联主题较强的人深信世间万物都彼此关联。没有巧合，凡事必有成因。 </t>
  </si>
  <si>
    <t>凡事发生必有原因。你对此深信不疑。你深信不疑，是因为你从心底里认为我们都是相互关联的。诚然，我各个有别，各自对自己的判断负责，并保持选择的自由。但是，尽管如此，我们仍然是宏观世界的一部分。有人称其为集体的下意识。还有人称其为灵性或生命之能。但无论你用何种语言，你一想到我们并不相互隔绝，也不与地球及其生命隔绝，就会备添信心。这种关联感包含了某些责任。如果我们都是宏观世界的一部分，我们就绝不能害人-因为害人等于害己。我们绝不能剥削-因为剥削别人等于剥削自己。我们绝不能使人受苦-因为这样做会使我们自己受苦。你对这些责任的意识构成了你的价值体系。你为人周到、体贴和宽容。由于笃信人类大同，你成为沟通不同文化背景的人们的桥梁。仿佛有一只“看不见的手” 指引你，帮你开导别人超越日 常琐事，而看到更高尚的目标。你的具体信仰固然取决于你的人生经历和文化，但是你的信仰十分坚定。它 使你和你的朋友面对人生之秘而持之以恒 。</t>
  </si>
  <si>
    <t xml:space="preserve">20、理念 </t>
  </si>
  <si>
    <t xml:space="preserve">他们痴迷于各种理念，能够从貌似毫无关联的现象中找出其相互联系。 </t>
  </si>
  <si>
    <t>你为理念而痴迷。什幺是理念？理念就是概念，就是对大部分事件的最合理的解释。当你透过复杂的表层，发现一个精彩而简明的概念，继而解释事物的本质时，你会喜不自胜。理念是一种关联。你的头脑总在寻找关联；因此，当表面截然不同的现象被某个不起眼的纽带联系在一起时，你会感到新奇。一个理念是对习以为常的挑战的全新见解。你乐于将我们熟知的世界转一个圈，让我们从一个陌生但充满新意的角度看它。你喜爱所有这些理念。因为它们深刻。因为它们新颖。因为它们能正本清源。因为它们引发争论。因为它们怪诞。由于所有这些原因，每当你产生一个新理念时，你都为之一振。别人可能视你为锐意创新、标新立异、富于理性或聪明过人。也许这些你都是。谁能说得准呢？你确信无疑的是理念使你激动不已。而大多数日子里，这就足够了。</t>
  </si>
  <si>
    <t xml:space="preserve">21、学习 </t>
  </si>
  <si>
    <t>你热爱学习。你最感兴趣的题目取决于你的其它主题和经历。但无论是什幺题目，你总是受到学习过程的吸引。过程，而不是内容或结果，最使你兴奋。从无知到熟练的扎实而执着的进程使你精力倍增。入门的快感；初学者背诵或实践学到的内容；掌握一门新技术而日益增强的信心-这些学习的过程深深吸引着你。你对学习的激情促使你参加各种成人教程-太极拳、外语、钢琴、舞蹈或电脑培训班等等。它使你能在变动无常的环境中应付自如，无论是分配你完成一个应急项目，还是反复要求你在短时间内成为某个新题目的行家。学习主题并不一定意味着你力图成为某个专题的专家，或追求伴随某种专业或学术头衔的荣耀。相比之下，更重要的是学习的“路程”，而不是具体结果。</t>
  </si>
  <si>
    <t xml:space="preserve">22、包容－－有容乃大的慈善家 </t>
  </si>
  <si>
    <t xml:space="preserve">包容－－有容乃大的慈善家，包容力强的人善于接纳人。他们关心那些被忽略的人们，并让他们溶入集体。 </t>
  </si>
  <si>
    <t>“扩大圈子”。这就是你的人生准则。你希望拉人入伙，使他们感到自己是团队的成员。有的人只参加排外的小团体；你截然不同，处处避免排外团体。你希望扩大团体，使尽可能多的人受益于团体的支持。你最不愿目睹有人站在圈外旁观。孤立的感觉是多幺冰冷。你会说，“扩大圈子，请他们进来，给他们温暖。”你天生是一个来者不拒的人。无论什幺种族、性别、国籍、性格，还是信仰，你从不妄作评判。评判可能伤及他人的感情。不到万不得已，何必这幺做呢？你之所以来者不拒，并不是因为你深信人各有别，继而应当彼此尊重差异，而是因为你确信我们在本质上彼此相同。我们一样特殊，一样重要。因此，谁也不应被忽视。我们每个人都有份。这是我们的基本权利。</t>
  </si>
  <si>
    <t xml:space="preserve">23、个别 </t>
  </si>
  <si>
    <t xml:space="preserve">个别主题较强的人对每个人的与众不同之处兴趣盎然。他们善于琢磨如何将个性迥异的人组合在一起，创造出最大成效。 </t>
  </si>
  <si>
    <t>你的个别主题使你对每个人的与众不同之处兴趣盎然。你不能容忍一概而论或简单归类。你深知，如此大而划之会抹煞个人特点。相反，你关注个人差异。你本能地观察每个人的风格、动机、思维方法和交际方式，倾听其独一无二的生活经历。这一才干充分说明你与别人相处的方式。它说明为什幺你能选择恰到好处的生日礼品；为什幺你知道有人喜欢，而有人讨厌当众受表扬；为什幺你能因人施教，对有的人手把手地教，而让别的人“自己琢磨”。由于你密切观察别人的优势，你就能使每个人真正人尽其才。你深知，通过告诉一个人你所看到的具体优势，他/她就会继续挖潜。这一个别主题还有助于你建立高效的团队。有人寻求完美无缺的团队结构或过程，而你的直觉告诉你优秀团队的秘诀在于使每个成员都能做他/她最擅长的工作。</t>
  </si>
  <si>
    <t xml:space="preserve">24、沟通 </t>
  </si>
  <si>
    <t xml:space="preserve">沟通能力强的人善于将想法付诸言辞，他们是极佳的交谈者和生动的讲解者。 </t>
  </si>
  <si>
    <t>你喜欢解释、描述、主持、演讲和写作。这是你的沟通主题在起作用。概念索然无味。事件平淡无奇。你需要将它们激活，使它们生机勃勃，激动人心，引人入胜。所以你就把事件编成故事，频繁讲述。你用形象、案例和比喻赋予枯燥的概念以生气。你认为大部分人注意力甚短。他们天天受到信息的轰击，但所记寥寥。你希望你所传达的信息--思想、事件、产品的特征和功能，发明或一堂课-被人铭记。你想把他们的注意力吸引过来，然后捕捉和锁定它。这种愿望驱动你搜寻生动而富有感染力的完美词句。正因为如此，别人乐于听你侃侃而谈。你用语言勾画的图象激发他们的兴趣，澄清他们的眼界，并激励他们去行动。</t>
  </si>
  <si>
    <t xml:space="preserve">25、交往 </t>
  </si>
  <si>
    <t xml:space="preserve">交往能力强的人喜欢人际间的亲密关系。他们最大的满足是与朋友一道为实现一个目标而同舟共济。 </t>
  </si>
  <si>
    <t>你的交往主题描述你对人际关系的态度。简言之，交往主题使你与熟人的关系更紧密。你未必羞于结交新人-事实上，你可能有其它主题，使你从结交新朋友中获得无穷乐趣-但你的确从保持密友交往中汲取巨大的欢乐和力量。你对亲密关系感觉自然。事实上，一旦与人结识，你就会有意深化关系。你对朋友敞开心扉。你同样希望成为他们的知己。你希望了解他们的情感、他们的目标、他们的恐惧和他们的梦想；你希望他们用相同的方式了解你。你深知这种密切关系不无风险-别人可能利用你-但你甘愿接受这种风险。对你来说，唯有真诚的关系才有价值。而检验关系是否真诚的唯一方式便是完全信任别人。你与别人分享的越多，你们共同承担的风险就越多。你们共同承担的风险越多，你们各自就越能证明彼此关爱是真诚的。这就是你建立真诚友谊的步骤，而你这样做完全是心甘情愿的。</t>
  </si>
  <si>
    <t>26、和谐,</t>
  </si>
  <si>
    <t xml:space="preserve">愛好和諧－－息事寧人的和平天使，和谐主题较强的人渴求协调一致。他们避免冲突，寻求共识。 </t>
  </si>
  <si>
    <t>你寻求共识。你认为，冲突和摩擦有害无益，所以你尽量将其化小。当你发现周围的人意见不一时，你力图求同存异。你力图使他们避免对抗，寻求和谐。事实上，和谐是你的核心价值。尽管无济于事，有人却总想将自己的观点强加于人，这在你看来真是难以置信。我们如果避免固执己见，转而寻找共识和支持，岂非效益大增？你对此深信不疑，并照此原则待人处事。当别人鼓吹他们的目标、权益和神圣的信条时，你却守口如瓶。当别人朝着某个方向冲去时，你为了维系和谐，心甘情愿地修改自己的目标，以求与别人保持一致（只要他们的基本价值与你相符）。当别人为他们钟爱的理论或要领大发宏论时，你却避开争论，宁可讨论有可能建立共识的实际问题。在你看来，我们都在一条船上，必须同舟共济。这是条好船，大可不必为了逞能而乱晃它。</t>
  </si>
  <si>
    <t xml:space="preserve">27、责任 </t>
  </si>
  <si>
    <t xml:space="preserve">责任心强的人言必有信。他们信奉的价值观是诚实、忠诚。 </t>
  </si>
  <si>
    <t>你的责任主题促使你在心理上对你的诺言负全责。你一旦作出承诺，无论大小，你从感情上就觉得有义务将其完全落实。你的名声有赖于此。如果由于某种原因你不能兑现，你会自动寻找其他途径给对方以补偿。仅仅道歉是不够的。托辞和辩解是完全不可接受的。你不作出补偿，就会寝食不安。你的这种自觉性，这种几乎是走火入魔的行为准则，这种无可挑剔的道德标准，使你作为完全可以信赖的人而美名四扬。当分配新任务时，人们会首先想到你，因为他们知道你说到做到。他们很快就会向你求助-但你必须有所选择，从而避免因为乐善好施而力不从心。</t>
  </si>
  <si>
    <t xml:space="preserve">28、体谅, </t>
  </si>
  <si>
    <t xml:space="preserve">同理心－－善体人意的「心灵导师」，他们能够设身处地地体会他人的情感。 </t>
  </si>
  <si>
    <t>你善解人意。你能体会到他人的感受，就象体会你自己一样。你能凭直觉通过他们的眼睛看世界，并分享他们的观点。你未必赞同每个人的看法。你未必怜悯每个人的困境-那是“同情”，而不是体谅。你未必赞成每个人的选择，但你的确理解他们，而这种理解的本能是威力无穷的。你能听到无声的提问。你能预料到需求。别人为寻找词汇而搜索枯肠，你却总能找到恰如其分的词汇和语调。你帮助别人寻找合适的语句向自己或他人表达情感。你帮助他们倾诉其情感生活。由于所有这些原因，其他人被你所吸引。</t>
  </si>
  <si>
    <t xml:space="preserve">29、完美，完美主义－－鉴赏力非凡的行家: </t>
  </si>
  <si>
    <t xml:space="preserve">完美主题较强的人专注于激励个人和团体追求卓越。他们相信强中自有强中手。 </t>
  </si>
  <si>
    <t>你的标准是优秀，而不是平均。把低于平均的业绩稍微提高到平均之上需要艰苦努力，且无法使你满足。而把本已不俗的业绩转变成出类拔萃，需要相同的努力，但远比前者激动人心。优势，无论属于你自己还是别人，都使你着迷。如同一名打捞珍珠的潜水员，你四处搜寻优势的蛛丝马迹-无师自通、一学就会、掌握技术浑然天成。所有这些都说明某种优势在起作用。发现优势后，你感到必须培育它，改进它，将它充分发挥，直到炉火纯青。你不停地摩擦珍珠，直到它银光四射。由于你对优势情有独钟，别人会认为你不能一视同仁。你更愿与善于欣赏你优势的人相处。同样，你喜欢结交发现并培养自身优势的人。你避开力图修理你，使你样样精通的人-他们也许能找到其它人来培养“全才”。你不想终生哀叹自己的欠缺；相反，你想发挥你的天生优势。这样更开心，更有效，并且，与常人所思相反，要求更高。</t>
  </si>
  <si>
    <t xml:space="preserve">30、统率 </t>
  </si>
  <si>
    <t xml:space="preserve">统率力强的人有大将风度。他们运筹帷幄，指挥若定。 </t>
  </si>
  <si>
    <t>强烈的统率主题促使你实施指挥。与有的人不同，你对将自己的观点强加于人并无不适。相反，你一旦形成观点，就必须与人分享。你一旦确定目标，就要用它来统一众人的思想，否则就会坐立不安。你不怕对立；相反，你确信对立是解决难题的第一步。其它人可能对生活的不快讳莫如深，你则感到必须陈述事实或真理，无论它们多幺令人不快。你需要在人们之间扫除误会；因此，你要求他们明辨是非，开诚布公。你推动他们承担风险，甚至会为此而逼迫他们。虽然有人会对此表示厌恶，指责你刚愎自用，但他们又常常会自愿让你掌舵。人们往往拥戴那些立场鲜明的人，那些确定方向，然后率领他们前进的人。人们会拥戴你。你一呼百应。你发号施令。</t>
  </si>
  <si>
    <t xml:space="preserve">31、积极 </t>
  </si>
  <si>
    <t xml:space="preserve">积极的人浑身充满了富有感染力的热情。他们用快乐、向上来感召周围的人。 </t>
  </si>
  <si>
    <t>你慷慨赞人，笑容可掬，不失时机地捕捉幽默。有人说你无忧无虑。还有人但愿能象你一样乐观豁达。无论怎样，人们喜欢与你相处。有你在，他们的世界就更加美好，因为你的热情是如此富有感染力。由于缺乏你的精力和乐观，有的人感到他们的世界重复而乏味，甚至压力重重。你似乎总能设法活跃他们的心灵。你为每个项目注入欢乐。你庆祝每一项成就。你千方百计使每一件事都生机勃勃，激动人心。你由于精力充沛，会受到某些玩世不恭者的排斥，但你的积极主题使你很少灰心泄气。你内心深处确信，活着无比美好；工作充满乐趣；无论遇到什幺挫折，都不应失去幽默感。</t>
  </si>
  <si>
    <t xml:space="preserve">32、伯乐，尊重个别差异－－因材施教的伯乐: </t>
  </si>
  <si>
    <t xml:space="preserve">他们善于赏识并发掘他人的潜能。他们能够察觉任何细微的进步，并乐在其中。 </t>
  </si>
  <si>
    <t>「尊重个别差异」的主导特质使你对个人特质极感兴趣，对于概括和典型感到不耐，因为不想忽略每个人与众不同之处。相反地，你注重个人之间的差异，自然而然会观察每个人的风格、动机、想法和如何建立人际关系。你可以从每个人身上听到独一无二的故事。这个主导特质说明了为什么你能替朋友挑选最合适的生日礼物，为什么你知道有人喜欢被公开赞扬，有人却敬而远之，以及为什么你能调整教学方式，配合有人想表现的愿望。因为你对其他人的能力观察入微，让每个人得到最好发挥。这种主导特质同时也有助于你组织有效率的团队。当旁人忙于寻找完美团队架构或方法时，你早已知道伟大团队的诀窍在于适才适所，才能发挥个人所长。</t>
  </si>
  <si>
    <t xml:space="preserve">33、取悦 </t>
  </si>
  <si>
    <t>取悦的英文原意是把别人争取过来。你酷爱的挑战就是结识新人并赢得其好感。你从不怕见生人。相反，你见到生人精力倍增。你受他们的吸引。你想知道他们的姓名，问他们问题，寻找与他们的共同兴趣，以便攀谈，建立友情。有的人避免与人攀谈，因为他们担心话不投机。你则不然。你不仅从不辞穷，而且喜欢冒险与生人攀谈，因为打破坚冰，建立联系使你心满意足。而一旦关系建立，你就高高兴兴地把它搁置一边，继续前进。还有新人要结识，还有新的房间要进去，还有新的人群要交际。在你的生活中是没有生人的。只有尚未谋面的朋友。许多许多朋友。</t>
  </si>
  <si>
    <t xml:space="preserve">34、竞争 </t>
  </si>
  <si>
    <t xml:space="preserve">竞争性强的人参照他人的表现来衡量自身的进步。他们力争第一，陶醉于竞争的喜悦中。 </t>
  </si>
  <si>
    <t>竞争扎根于比较。当你环视四周时，你本能地意识到别人的业绩。他们的业绩就是你的最终标尺。无论你如何苦干，无论你的动机如何高尚，如果你仅仅达到自身目标，但未能傲视同侪，你就会感到现有成就空洞无物。如同所有的竞争者，你需要其它人。你需要比较。因为如果你能比较，你就能竞争，而如果你能竞争，你就能取胜。一旦取胜，你就能感受到无与伦比的快慰。你喜欢测量，因为它有助于比较。你喜欢其它竞争者，因为他们使你振奋。你热爱比赛，因为它们必定产生一个赢家。你尤其喜欢你胜券在握的比赛。虽然你对你的对手彬彬有礼，甚至能做到虽败尤荣，但你参加比赛绝不是为了取乐，而是为了取胜。你最终会避免参加取胜无望的比赛。</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</si>
</sst>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 numFmtId="177" formatCode=";;;"/>
    <numFmt numFmtId="178" formatCode="0.00_);[Red]\(0.00\)"/>
    <numFmt numFmtId="179" formatCode="0_ "/>
    <numFmt numFmtId="180" formatCode="0_);[Red]\(0\)"/>
  </numFmts>
  <fonts count="82">
    <font>
      <sz val="12"/>
      <name val="宋体"/>
      <charset val="134"/>
    </font>
    <font>
      <sz val="26"/>
      <color rgb="FF0070C0"/>
      <name val="华文隶书"/>
      <charset val="134"/>
    </font>
    <font>
      <sz val="28"/>
      <color indexed="10"/>
      <name val="华文彩云"/>
      <charset val="134"/>
    </font>
    <font>
      <sz val="18"/>
      <color rgb="FF0070C0"/>
      <name val="华文隶书"/>
      <charset val="134"/>
    </font>
    <font>
      <sz val="20"/>
      <color rgb="FF0070C0"/>
      <name val="华文隶书"/>
      <charset val="134"/>
    </font>
    <font>
      <b/>
      <sz val="16"/>
      <color rgb="FF96B3D7"/>
      <name val="楷体"/>
      <charset val="134"/>
    </font>
    <font>
      <sz val="12"/>
      <color rgb="FF0070C0"/>
      <name val="Arial"/>
      <charset val="134"/>
    </font>
    <font>
      <sz val="12"/>
      <color rgb="FF0070C0"/>
      <name val="黑体"/>
      <charset val="134"/>
    </font>
    <font>
      <b/>
      <sz val="12"/>
      <color rgb="FF0070C0"/>
      <name val="Times New Roman"/>
      <charset val="134"/>
    </font>
    <font>
      <sz val="14"/>
      <color rgb="FF0070C0"/>
      <name val="宋体"/>
      <charset val="134"/>
    </font>
    <font>
      <sz val="12"/>
      <color rgb="FF0070C0"/>
      <name val="宋体"/>
      <charset val="134"/>
    </font>
    <font>
      <sz val="11"/>
      <color rgb="FF0070C0"/>
      <name val="宋体"/>
      <charset val="134"/>
    </font>
    <font>
      <b/>
      <sz val="20"/>
      <color rgb="FFC00000"/>
      <name val="宋体"/>
      <charset val="134"/>
    </font>
    <font>
      <sz val="26"/>
      <color rgb="FF00B050"/>
      <name val="华文行楷"/>
      <charset val="134"/>
    </font>
    <font>
      <b/>
      <sz val="12"/>
      <name val="Arial"/>
      <charset val="134"/>
    </font>
    <font>
      <sz val="12"/>
      <name val="黑体"/>
      <charset val="134"/>
    </font>
    <font>
      <b/>
      <sz val="18"/>
      <color rgb="FF0070C0"/>
      <name val="宋体"/>
      <charset val="134"/>
    </font>
    <font>
      <b/>
      <sz val="14"/>
      <color rgb="FF0070C0"/>
      <name val="宋体"/>
      <charset val="134"/>
    </font>
    <font>
      <sz val="10"/>
      <color rgb="FF00B050"/>
      <name val="宋体"/>
      <charset val="134"/>
    </font>
    <font>
      <sz val="12"/>
      <color rgb="FFFF0000"/>
      <name val="黑体"/>
      <charset val="134"/>
    </font>
    <font>
      <sz val="12"/>
      <color rgb="FFFF0000"/>
      <name val="宋体"/>
      <charset val="134"/>
    </font>
    <font>
      <sz val="10"/>
      <color rgb="FFFF0000"/>
      <name val="Arial"/>
      <charset val="134"/>
    </font>
    <font>
      <sz val="10"/>
      <color rgb="FFFF0000"/>
      <name val="宋体"/>
      <charset val="134"/>
    </font>
    <font>
      <sz val="14"/>
      <color rgb="FFFF0000"/>
      <name val="宋体"/>
      <charset val="134"/>
    </font>
    <font>
      <sz val="10"/>
      <color rgb="FFFF0000"/>
      <name val="Arial Unicode MS"/>
      <charset val="134"/>
    </font>
    <font>
      <sz val="11"/>
      <color rgb="FFFF0000"/>
      <name val="Arial Unicode MS"/>
      <charset val="134"/>
    </font>
    <font>
      <sz val="12"/>
      <color rgb="FFFF0000"/>
      <name val="Arial Unicode MS"/>
      <charset val="134"/>
    </font>
    <font>
      <sz val="9"/>
      <color rgb="FFFF0000"/>
      <name val="Arial Unicode MS"/>
      <charset val="134"/>
    </font>
    <font>
      <b/>
      <sz val="10"/>
      <color rgb="FFFF0000"/>
      <name val="Arial Unicode MS"/>
      <charset val="134"/>
    </font>
    <font>
      <sz val="10"/>
      <color rgb="FFFF0000"/>
      <name val="黑体"/>
      <charset val="134"/>
    </font>
    <font>
      <sz val="36"/>
      <color indexed="10"/>
      <name val="华文彩云"/>
      <charset val="134"/>
    </font>
    <font>
      <sz val="12"/>
      <name val="Arial"/>
      <charset val="134"/>
    </font>
    <font>
      <sz val="10"/>
      <name val="Arial"/>
      <charset val="134"/>
    </font>
    <font>
      <sz val="11"/>
      <color indexed="12"/>
      <name val="Arial"/>
      <charset val="134"/>
    </font>
    <font>
      <sz val="11"/>
      <color indexed="61"/>
      <name val="Arial"/>
      <charset val="134"/>
    </font>
    <font>
      <sz val="12"/>
      <color indexed="10"/>
      <name val="黑体"/>
      <charset val="134"/>
    </font>
    <font>
      <b/>
      <sz val="10"/>
      <color rgb="FFFF0000"/>
      <name val="宋体"/>
      <charset val="134"/>
    </font>
    <font>
      <b/>
      <sz val="20"/>
      <color indexed="9"/>
      <name val="Arial Black"/>
      <charset val="134"/>
    </font>
    <font>
      <sz val="20"/>
      <color indexed="9"/>
      <name val="Arial Unicode MS"/>
      <charset val="134"/>
    </font>
    <font>
      <sz val="12"/>
      <color indexed="9"/>
      <name val="黑体"/>
      <charset val="134"/>
    </font>
    <font>
      <sz val="12"/>
      <color indexed="9"/>
      <name val="Arial"/>
      <charset val="134"/>
    </font>
    <font>
      <sz val="11"/>
      <color indexed="9"/>
      <name val="黑体"/>
      <charset val="134"/>
    </font>
    <font>
      <sz val="11"/>
      <name val="Arial"/>
      <charset val="134"/>
    </font>
    <font>
      <sz val="11"/>
      <color indexed="12"/>
      <name val="宋体"/>
      <charset val="134"/>
    </font>
    <font>
      <sz val="11"/>
      <color indexed="61"/>
      <name val="宋体"/>
      <charset val="134"/>
    </font>
    <font>
      <b/>
      <sz val="12"/>
      <color rgb="FFFF0000"/>
      <name val="宋体"/>
      <charset val="134"/>
    </font>
    <font>
      <sz val="14"/>
      <name val="宋体"/>
      <charset val="134"/>
    </font>
    <font>
      <sz val="28"/>
      <color rgb="FF0070C0"/>
      <name val="华文彩云"/>
      <charset val="134"/>
    </font>
    <font>
      <sz val="14"/>
      <color indexed="10"/>
      <name val="黑体"/>
      <charset val="134"/>
    </font>
    <font>
      <sz val="14"/>
      <name val="黑体"/>
      <charset val="134"/>
    </font>
    <font>
      <sz val="14"/>
      <name val="Arial"/>
      <charset val="134"/>
    </font>
    <font>
      <b/>
      <sz val="14"/>
      <name val="Arial"/>
      <charset val="134"/>
    </font>
    <font>
      <b/>
      <u/>
      <sz val="20"/>
      <color rgb="FF00B050"/>
      <name val="宋体"/>
      <charset val="134"/>
    </font>
    <font>
      <sz val="11"/>
      <color rgb="FF000000"/>
      <name val="宋体"/>
      <charset val="134"/>
    </font>
    <font>
      <sz val="48"/>
      <color rgb="FF0070C0"/>
      <name val="华文行楷"/>
      <charset val="134"/>
    </font>
    <font>
      <sz val="36"/>
      <color rgb="FF0070C0"/>
      <name val="宋体"/>
      <charset val="134"/>
    </font>
    <font>
      <u/>
      <sz val="16"/>
      <color rgb="FF568FD4"/>
      <name val="宋体"/>
      <charset val="134"/>
    </font>
    <font>
      <sz val="11"/>
      <color theme="1"/>
      <name val="宋体"/>
      <charset val="134"/>
      <scheme val="minor"/>
    </font>
    <font>
      <u/>
      <sz val="11"/>
      <color rgb="FF0000FF"/>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name val="宋体"/>
      <charset val="134"/>
    </font>
    <font>
      <sz val="11"/>
      <color rgb="FF000000"/>
      <name val="Times New Roman"/>
      <charset val="134"/>
    </font>
    <font>
      <sz val="11"/>
      <name val="宋体"/>
      <charset val="134"/>
    </font>
    <font>
      <sz val="11"/>
      <color rgb="FF333333"/>
      <name val="宋体"/>
      <charset val="134"/>
    </font>
    <font>
      <sz val="11"/>
      <color rgb="FF333333"/>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57" fillId="0" borderId="0" applyFont="0" applyFill="0" applyBorder="0" applyAlignment="0" applyProtection="0">
      <alignment vertical="center"/>
    </xf>
    <xf numFmtId="44" fontId="57" fillId="0" borderId="0" applyFont="0" applyFill="0" applyBorder="0" applyAlignment="0" applyProtection="0">
      <alignment vertical="center"/>
    </xf>
    <xf numFmtId="9" fontId="57" fillId="0" borderId="0" applyFont="0" applyFill="0" applyBorder="0" applyAlignment="0" applyProtection="0">
      <alignment vertical="center"/>
    </xf>
    <xf numFmtId="41" fontId="57" fillId="0" borderId="0" applyFont="0" applyFill="0" applyBorder="0" applyAlignment="0" applyProtection="0">
      <alignment vertical="center"/>
    </xf>
    <xf numFmtId="42" fontId="57" fillId="0" borderId="0" applyFont="0" applyFill="0" applyBorder="0" applyAlignment="0" applyProtection="0">
      <alignment vertical="center"/>
    </xf>
    <xf numFmtId="0" fontId="58" fillId="0" borderId="0">
      <protection locked="0"/>
    </xf>
    <xf numFmtId="0" fontId="59" fillId="0" borderId="0" applyNumberFormat="0" applyFill="0" applyBorder="0" applyAlignment="0" applyProtection="0">
      <alignment vertical="center"/>
    </xf>
    <xf numFmtId="0" fontId="57" fillId="2" borderId="18" applyNumberFormat="0" applyFont="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19" applyNumberFormat="0" applyFill="0" applyAlignment="0" applyProtection="0">
      <alignment vertical="center"/>
    </xf>
    <xf numFmtId="0" fontId="64" fillId="0" borderId="19" applyNumberFormat="0" applyFill="0" applyAlignment="0" applyProtection="0">
      <alignment vertical="center"/>
    </xf>
    <xf numFmtId="0" fontId="65" fillId="0" borderId="20" applyNumberFormat="0" applyFill="0" applyAlignment="0" applyProtection="0">
      <alignment vertical="center"/>
    </xf>
    <xf numFmtId="0" fontId="65" fillId="0" borderId="0" applyNumberFormat="0" applyFill="0" applyBorder="0" applyAlignment="0" applyProtection="0">
      <alignment vertical="center"/>
    </xf>
    <xf numFmtId="0" fontId="66" fillId="3" borderId="21" applyNumberFormat="0" applyAlignment="0" applyProtection="0">
      <alignment vertical="center"/>
    </xf>
    <xf numFmtId="0" fontId="67" fillId="4" borderId="22" applyNumberFormat="0" applyAlignment="0" applyProtection="0">
      <alignment vertical="center"/>
    </xf>
    <xf numFmtId="0" fontId="68" fillId="4" borderId="21" applyNumberFormat="0" applyAlignment="0" applyProtection="0">
      <alignment vertical="center"/>
    </xf>
    <xf numFmtId="0" fontId="69" fillId="5" borderId="23" applyNumberFormat="0" applyAlignment="0" applyProtection="0">
      <alignment vertical="center"/>
    </xf>
    <xf numFmtId="0" fontId="70" fillId="0" borderId="24" applyNumberFormat="0" applyFill="0" applyAlignment="0" applyProtection="0">
      <alignment vertical="center"/>
    </xf>
    <xf numFmtId="0" fontId="71" fillId="0" borderId="25" applyNumberFormat="0" applyFill="0" applyAlignment="0" applyProtection="0">
      <alignment vertical="center"/>
    </xf>
    <xf numFmtId="0" fontId="72" fillId="6" borderId="0" applyNumberFormat="0" applyBorder="0" applyAlignment="0" applyProtection="0">
      <alignment vertical="center"/>
    </xf>
    <xf numFmtId="0" fontId="73" fillId="7" borderId="0" applyNumberFormat="0" applyBorder="0" applyAlignment="0" applyProtection="0">
      <alignment vertical="center"/>
    </xf>
    <xf numFmtId="0" fontId="74" fillId="8" borderId="0" applyNumberFormat="0" applyBorder="0" applyAlignment="0" applyProtection="0">
      <alignment vertical="center"/>
    </xf>
    <xf numFmtId="0" fontId="75" fillId="9" borderId="0" applyNumberFormat="0" applyBorder="0" applyAlignment="0" applyProtection="0">
      <alignment vertical="center"/>
    </xf>
    <xf numFmtId="0" fontId="76" fillId="10" borderId="0" applyNumberFormat="0" applyBorder="0" applyAlignment="0" applyProtection="0">
      <alignment vertical="center"/>
    </xf>
    <xf numFmtId="0" fontId="76" fillId="11" borderId="0" applyNumberFormat="0" applyBorder="0" applyAlignment="0" applyProtection="0">
      <alignment vertical="center"/>
    </xf>
    <xf numFmtId="0" fontId="75" fillId="12" borderId="0" applyNumberFormat="0" applyBorder="0" applyAlignment="0" applyProtection="0">
      <alignment vertical="center"/>
    </xf>
    <xf numFmtId="0" fontId="75" fillId="13" borderId="0" applyNumberFormat="0" applyBorder="0" applyAlignment="0" applyProtection="0">
      <alignment vertical="center"/>
    </xf>
    <xf numFmtId="0" fontId="76" fillId="14" borderId="0" applyNumberFormat="0" applyBorder="0" applyAlignment="0" applyProtection="0">
      <alignment vertical="center"/>
    </xf>
    <xf numFmtId="0" fontId="76" fillId="15" borderId="0" applyNumberFormat="0" applyBorder="0" applyAlignment="0" applyProtection="0">
      <alignment vertical="center"/>
    </xf>
    <xf numFmtId="0" fontId="75" fillId="16" borderId="0" applyNumberFormat="0" applyBorder="0" applyAlignment="0" applyProtection="0">
      <alignment vertical="center"/>
    </xf>
    <xf numFmtId="0" fontId="75" fillId="17" borderId="0" applyNumberFormat="0" applyBorder="0" applyAlignment="0" applyProtection="0">
      <alignment vertical="center"/>
    </xf>
    <xf numFmtId="0" fontId="76" fillId="18" borderId="0" applyNumberFormat="0" applyBorder="0" applyAlignment="0" applyProtection="0">
      <alignment vertical="center"/>
    </xf>
    <xf numFmtId="0" fontId="76" fillId="19" borderId="0" applyNumberFormat="0" applyBorder="0" applyAlignment="0" applyProtection="0">
      <alignment vertical="center"/>
    </xf>
    <xf numFmtId="0" fontId="75" fillId="20" borderId="0" applyNumberFormat="0" applyBorder="0" applyAlignment="0" applyProtection="0">
      <alignment vertical="center"/>
    </xf>
    <xf numFmtId="0" fontId="75" fillId="21" borderId="0" applyNumberFormat="0" applyBorder="0" applyAlignment="0" applyProtection="0">
      <alignment vertical="center"/>
    </xf>
    <xf numFmtId="0" fontId="76" fillId="22" borderId="0" applyNumberFormat="0" applyBorder="0" applyAlignment="0" applyProtection="0">
      <alignment vertical="center"/>
    </xf>
    <xf numFmtId="0" fontId="76" fillId="23" borderId="0" applyNumberFormat="0" applyBorder="0" applyAlignment="0" applyProtection="0">
      <alignment vertical="center"/>
    </xf>
    <xf numFmtId="0" fontId="75" fillId="24" borderId="0" applyNumberFormat="0" applyBorder="0" applyAlignment="0" applyProtection="0">
      <alignment vertical="center"/>
    </xf>
    <xf numFmtId="0" fontId="75" fillId="25" borderId="0" applyNumberFormat="0" applyBorder="0" applyAlignment="0" applyProtection="0">
      <alignment vertical="center"/>
    </xf>
    <xf numFmtId="0" fontId="76" fillId="26" borderId="0" applyNumberFormat="0" applyBorder="0" applyAlignment="0" applyProtection="0">
      <alignment vertical="center"/>
    </xf>
    <xf numFmtId="0" fontId="76" fillId="27" borderId="0" applyNumberFormat="0" applyBorder="0" applyAlignment="0" applyProtection="0">
      <alignment vertical="center"/>
    </xf>
    <xf numFmtId="0" fontId="75" fillId="28" borderId="0" applyNumberFormat="0" applyBorder="0" applyAlignment="0" applyProtection="0">
      <alignment vertical="center"/>
    </xf>
    <xf numFmtId="0" fontId="75" fillId="29" borderId="0" applyNumberFormat="0" applyBorder="0" applyAlignment="0" applyProtection="0">
      <alignment vertical="center"/>
    </xf>
    <xf numFmtId="0" fontId="76" fillId="30" borderId="0" applyNumberFormat="0" applyBorder="0" applyAlignment="0" applyProtection="0">
      <alignment vertical="center"/>
    </xf>
    <xf numFmtId="0" fontId="76" fillId="31" borderId="0" applyNumberFormat="0" applyBorder="0" applyAlignment="0" applyProtection="0">
      <alignment vertical="center"/>
    </xf>
    <xf numFmtId="0" fontId="75" fillId="32" borderId="0" applyNumberFormat="0" applyBorder="0" applyAlignment="0" applyProtection="0">
      <alignment vertical="center"/>
    </xf>
    <xf numFmtId="0" fontId="53" fillId="0" borderId="0">
      <protection locked="0"/>
    </xf>
  </cellStyleXfs>
  <cellXfs count="131">
    <xf numFmtId="0" fontId="0" fillId="0" borderId="0" xfId="0">
      <alignment vertical="center"/>
    </xf>
    <xf numFmtId="0" fontId="0" fillId="0" borderId="0" xfId="0" applyFill="1" applyProtection="1">
      <alignment vertical="center"/>
      <protection hidden="1"/>
    </xf>
    <xf numFmtId="0" fontId="0" fillId="0" borderId="0" xfId="0" applyFill="1" applyAlignment="1" applyProtection="1">
      <alignment horizontal="center" vertical="center"/>
      <protection hidden="1"/>
    </xf>
    <xf numFmtId="0" fontId="1" fillId="0" borderId="0" xfId="0" applyFont="1" applyFill="1" applyAlignment="1" applyProtection="1">
      <alignment horizontal="center" vertical="center"/>
      <protection hidden="1"/>
    </xf>
    <xf numFmtId="0" fontId="2" fillId="0" borderId="0" xfId="0" applyFont="1" applyFill="1" applyProtection="1">
      <alignment vertical="center"/>
      <protection hidden="1"/>
    </xf>
    <xf numFmtId="0" fontId="3" fillId="0" borderId="1" xfId="0" applyFont="1" applyFill="1" applyBorder="1" applyProtection="1">
      <alignment vertical="center"/>
      <protection hidden="1"/>
    </xf>
    <xf numFmtId="0" fontId="4" fillId="0" borderId="1" xfId="0" applyFont="1" applyFill="1" applyBorder="1" applyProtection="1">
      <alignment vertical="center"/>
      <protection hidden="1"/>
    </xf>
    <xf numFmtId="0" fontId="5" fillId="0" borderId="2" xfId="0" applyFont="1" applyFill="1" applyBorder="1" applyAlignment="1" applyProtection="1">
      <alignment horizontal="left" vertical="center" wrapText="1"/>
      <protection hidden="1"/>
    </xf>
    <xf numFmtId="0" fontId="5" fillId="0" borderId="3" xfId="0" applyFont="1" applyFill="1" applyBorder="1" applyAlignment="1" applyProtection="1">
      <alignment horizontal="left" vertical="center" wrapText="1"/>
      <protection hidden="1"/>
    </xf>
    <xf numFmtId="0" fontId="6" fillId="0" borderId="4" xfId="0" applyFont="1" applyFill="1" applyBorder="1" applyAlignment="1" applyProtection="1">
      <alignment horizontal="center" vertical="center"/>
      <protection hidden="1"/>
    </xf>
    <xf numFmtId="0" fontId="7" fillId="0" borderId="4" xfId="0" applyFont="1" applyFill="1" applyBorder="1" applyAlignment="1" applyProtection="1">
      <alignment horizontal="center" vertical="center"/>
      <protection hidden="1"/>
    </xf>
    <xf numFmtId="0" fontId="8" fillId="0" borderId="5" xfId="0" applyFont="1" applyFill="1" applyBorder="1" applyAlignment="1" applyProtection="1">
      <alignment horizontal="center" vertical="center"/>
      <protection hidden="1"/>
    </xf>
    <xf numFmtId="0" fontId="7" fillId="0" borderId="5" xfId="0" applyFont="1" applyFill="1" applyBorder="1" applyAlignment="1" applyProtection="1">
      <alignment horizontal="center" vertical="center"/>
      <protection hidden="1"/>
    </xf>
    <xf numFmtId="176" fontId="6" fillId="0" borderId="5" xfId="0" applyNumberFormat="1" applyFont="1" applyFill="1" applyBorder="1" applyAlignment="1" applyProtection="1">
      <alignment horizontal="center" vertical="center"/>
      <protection hidden="1"/>
    </xf>
    <xf numFmtId="0" fontId="8" fillId="0" borderId="6" xfId="0" applyFont="1" applyFill="1" applyBorder="1" applyAlignment="1" applyProtection="1">
      <alignment horizontal="center" vertical="center"/>
      <protection hidden="1"/>
    </xf>
    <xf numFmtId="0" fontId="9" fillId="0" borderId="0" xfId="0" applyNumberFormat="1" applyFont="1" applyFill="1" applyAlignment="1" applyProtection="1">
      <alignment horizontal="right" vertical="center" wrapText="1"/>
      <protection hidden="1"/>
    </xf>
    <xf numFmtId="0" fontId="10" fillId="0" borderId="0" xfId="0" applyNumberFormat="1" applyFont="1" applyFill="1" applyProtection="1">
      <alignment vertical="center"/>
      <protection hidden="1"/>
    </xf>
    <xf numFmtId="0" fontId="11" fillId="0" borderId="0" xfId="0" applyNumberFormat="1" applyFont="1" applyFill="1" applyAlignment="1" applyProtection="1">
      <alignment horizontal="left" vertical="center" wrapText="1"/>
      <protection hidden="1"/>
    </xf>
    <xf numFmtId="177" fontId="0" fillId="0" borderId="0" xfId="0" applyNumberFormat="1" applyFill="1" applyProtection="1">
      <alignment vertical="center"/>
      <protection hidden="1"/>
    </xf>
    <xf numFmtId="0" fontId="12" fillId="0" borderId="0" xfId="0" applyFont="1" applyFill="1" applyAlignment="1" applyProtection="1">
      <alignment horizontal="center" vertical="center"/>
      <protection hidden="1"/>
    </xf>
    <xf numFmtId="0" fontId="13" fillId="0" borderId="0" xfId="0" applyFont="1" applyFill="1" applyAlignment="1" applyProtection="1">
      <alignment horizontal="right" vertical="center"/>
      <protection hidden="1"/>
    </xf>
    <xf numFmtId="0" fontId="13" fillId="0" borderId="0" xfId="0" applyFont="1" applyFill="1" applyAlignment="1" applyProtection="1">
      <alignment horizontal="left" vertical="center"/>
      <protection hidden="1"/>
    </xf>
    <xf numFmtId="0" fontId="10" fillId="0" borderId="0" xfId="0" applyFont="1" applyFill="1" applyAlignment="1" applyProtection="1">
      <alignment horizontal="left" vertical="center" wrapText="1"/>
      <protection hidden="1"/>
    </xf>
    <xf numFmtId="0" fontId="0" fillId="0" borderId="0" xfId="0" applyFont="1" applyFill="1" applyAlignment="1" applyProtection="1">
      <alignment horizontal="center" vertical="center"/>
      <protection hidden="1"/>
    </xf>
    <xf numFmtId="0" fontId="0" fillId="0" borderId="0" xfId="0" applyFill="1" applyAlignment="1" applyProtection="1">
      <alignment vertical="top" wrapText="1"/>
      <protection hidden="1"/>
    </xf>
    <xf numFmtId="0" fontId="14" fillId="0" borderId="0" xfId="0" applyFont="1" applyFill="1" applyAlignment="1" applyProtection="1">
      <alignment horizontal="center" vertical="center"/>
      <protection hidden="1"/>
    </xf>
    <xf numFmtId="0" fontId="15" fillId="0" borderId="0" xfId="0" applyFont="1" applyFill="1" applyProtection="1">
      <alignment vertical="center"/>
      <protection hidden="1"/>
    </xf>
    <xf numFmtId="0" fontId="16" fillId="0" borderId="1" xfId="0" applyNumberFormat="1" applyFont="1" applyFill="1" applyBorder="1" applyAlignment="1" applyProtection="1">
      <alignment horizontal="center" vertical="center"/>
      <protection hidden="1"/>
    </xf>
    <xf numFmtId="0" fontId="0" fillId="0" borderId="6" xfId="0" applyFill="1" applyBorder="1" applyAlignment="1" applyProtection="1">
      <alignment horizontal="center" vertical="center"/>
      <protection hidden="1"/>
    </xf>
    <xf numFmtId="0" fontId="17" fillId="0" borderId="7" xfId="0" applyNumberFormat="1" applyFont="1" applyFill="1" applyBorder="1" applyAlignment="1" applyProtection="1">
      <alignment horizontal="center" vertical="center" wrapText="1"/>
      <protection hidden="1"/>
    </xf>
    <xf numFmtId="0" fontId="11" fillId="0" borderId="2" xfId="0" applyNumberFormat="1" applyFont="1" applyFill="1" applyBorder="1" applyAlignment="1" applyProtection="1">
      <alignment horizontal="left" vertical="center" wrapText="1"/>
      <protection hidden="1"/>
    </xf>
    <xf numFmtId="0" fontId="18" fillId="0" borderId="0" xfId="0" applyNumberFormat="1" applyFont="1" applyFill="1" applyAlignment="1" applyProtection="1">
      <alignment vertical="center" wrapText="1"/>
      <protection hidden="1"/>
    </xf>
    <xf numFmtId="0" fontId="11" fillId="0" borderId="8" xfId="0" applyNumberFormat="1" applyFont="1" applyFill="1" applyBorder="1" applyAlignment="1" applyProtection="1">
      <alignment horizontal="left" vertical="center" wrapText="1"/>
      <protection hidden="1"/>
    </xf>
    <xf numFmtId="0" fontId="0" fillId="0" borderId="0" xfId="0" applyAlignment="1">
      <alignment horizontal="center" vertical="center"/>
    </xf>
    <xf numFmtId="0" fontId="0" fillId="0" borderId="0" xfId="0" applyFont="1" applyAlignment="1">
      <alignment horizontal="left" vertical="center" wrapText="1"/>
    </xf>
    <xf numFmtId="0" fontId="0" fillId="0" borderId="0" xfId="0" applyFont="1" applyAlignment="1">
      <alignment horizontal="center" vertical="center"/>
    </xf>
    <xf numFmtId="0" fontId="19" fillId="0" borderId="0" xfId="0" applyFont="1" applyFill="1" applyBorder="1" applyAlignment="1">
      <alignment horizontal="center" vertical="center" wrapText="1"/>
    </xf>
    <xf numFmtId="0" fontId="20" fillId="0" borderId="0" xfId="0" applyFont="1" applyFill="1" applyBorder="1" applyAlignment="1">
      <alignment horizontal="center" vertical="center"/>
    </xf>
    <xf numFmtId="0" fontId="21" fillId="0" borderId="0" xfId="0" applyFont="1" applyFill="1" applyBorder="1" applyAlignment="1">
      <alignment horizontal="center" vertical="center"/>
    </xf>
    <xf numFmtId="0" fontId="20" fillId="0" borderId="0" xfId="0" applyFont="1" applyFill="1" applyBorder="1" applyAlignment="1" applyProtection="1">
      <alignment horizontal="justify" vertical="center"/>
      <protection locked="0"/>
    </xf>
    <xf numFmtId="0" fontId="22" fillId="0" borderId="0" xfId="0" applyFont="1" applyFill="1" applyBorder="1" applyAlignment="1" applyProtection="1">
      <alignment horizontal="justify" vertical="center"/>
      <protection hidden="1"/>
    </xf>
    <xf numFmtId="0" fontId="20" fillId="0" borderId="0" xfId="0" applyFont="1" applyFill="1" applyBorder="1" applyAlignment="1">
      <alignment horizontal="justify" vertical="center"/>
    </xf>
    <xf numFmtId="0" fontId="23" fillId="0" borderId="0" xfId="0" applyFont="1" applyFill="1" applyBorder="1" applyProtection="1">
      <alignment vertical="center"/>
      <protection hidden="1"/>
    </xf>
    <xf numFmtId="0" fontId="19" fillId="0" borderId="0" xfId="0" applyFont="1" applyFill="1" applyBorder="1" applyAlignment="1" applyProtection="1">
      <alignment horizontal="left" vertical="center"/>
      <protection locked="0"/>
    </xf>
    <xf numFmtId="0" fontId="20" fillId="0" borderId="0" xfId="0" applyFont="1" applyFill="1" applyBorder="1" applyAlignment="1" applyProtection="1">
      <alignment horizontal="left" vertical="center"/>
      <protection locked="0"/>
    </xf>
    <xf numFmtId="0" fontId="24" fillId="0" borderId="0" xfId="0" applyFont="1" applyFill="1" applyBorder="1" applyAlignment="1" applyProtection="1">
      <alignment horizontal="center" vertical="center"/>
      <protection hidden="1"/>
    </xf>
    <xf numFmtId="0" fontId="25" fillId="0" borderId="0" xfId="0" applyFont="1" applyFill="1" applyBorder="1" applyAlignment="1">
      <alignment horizontal="center" vertical="center"/>
    </xf>
    <xf numFmtId="0" fontId="26" fillId="0" borderId="0" xfId="0" applyFont="1" applyFill="1" applyBorder="1" applyAlignment="1" applyProtection="1">
      <alignment horizontal="center" vertical="center"/>
      <protection locked="0"/>
    </xf>
    <xf numFmtId="178" fontId="27" fillId="0" borderId="0" xfId="0" applyNumberFormat="1" applyFont="1" applyFill="1" applyBorder="1" applyAlignment="1" applyProtection="1">
      <alignment horizontal="center" vertical="center"/>
      <protection hidden="1"/>
    </xf>
    <xf numFmtId="0" fontId="28" fillId="0" borderId="0" xfId="0" applyFont="1" applyFill="1" applyBorder="1" applyAlignment="1">
      <alignment horizontal="center" vertical="center" wrapText="1"/>
    </xf>
    <xf numFmtId="0" fontId="26" fillId="0" borderId="0" xfId="0" applyFont="1" applyFill="1" applyBorder="1" applyAlignment="1" applyProtection="1">
      <alignment horizontal="center" vertical="center" wrapText="1"/>
      <protection locked="0"/>
    </xf>
    <xf numFmtId="0" fontId="24" fillId="0" borderId="0" xfId="0" applyFont="1" applyFill="1" applyBorder="1" applyAlignment="1" applyProtection="1">
      <alignment horizontal="center" vertical="center" wrapText="1"/>
      <protection locked="0"/>
    </xf>
    <xf numFmtId="0" fontId="29" fillId="0" borderId="0" xfId="0" applyFont="1" applyFill="1" applyBorder="1" applyAlignment="1" applyProtection="1">
      <alignment horizontal="center" vertical="center" wrapText="1"/>
      <protection hidden="1"/>
    </xf>
    <xf numFmtId="0" fontId="21" fillId="0" borderId="0" xfId="0" applyFont="1" applyFill="1" applyBorder="1" applyAlignment="1">
      <alignment horizontal="center" vertical="center" wrapText="1"/>
    </xf>
    <xf numFmtId="179" fontId="21" fillId="0" borderId="0" xfId="0" applyNumberFormat="1" applyFont="1" applyFill="1" applyBorder="1" applyAlignment="1" applyProtection="1">
      <alignment horizontal="center" vertical="center"/>
      <protection hidden="1"/>
    </xf>
    <xf numFmtId="0" fontId="21" fillId="0" borderId="0" xfId="0" applyFont="1" applyFill="1" applyBorder="1" applyAlignment="1" applyProtection="1">
      <alignment horizontal="center" vertical="center" wrapText="1"/>
      <protection hidden="1"/>
    </xf>
    <xf numFmtId="179" fontId="22" fillId="0" borderId="0" xfId="0" applyNumberFormat="1" applyFont="1" applyFill="1" applyBorder="1" applyAlignment="1" applyProtection="1">
      <alignment horizontal="center" vertical="center"/>
      <protection hidden="1"/>
    </xf>
    <xf numFmtId="0" fontId="0" fillId="0" borderId="0" xfId="0" applyFill="1">
      <alignment vertical="center"/>
    </xf>
    <xf numFmtId="0" fontId="0" fillId="0" borderId="0" xfId="0" applyFill="1" applyAlignment="1">
      <alignment horizontal="center" vertical="center"/>
    </xf>
    <xf numFmtId="180" fontId="0" fillId="0" borderId="0" xfId="0" applyNumberFormat="1" applyFill="1">
      <alignment vertical="center"/>
    </xf>
    <xf numFmtId="0" fontId="1" fillId="0" borderId="0" xfId="0" applyFont="1" applyFill="1" applyProtection="1">
      <alignment vertical="center"/>
      <protection hidden="1"/>
    </xf>
    <xf numFmtId="0" fontId="9" fillId="0" borderId="0" xfId="0" applyNumberFormat="1" applyFont="1" applyFill="1" applyAlignment="1">
      <alignment horizontal="right" vertical="center" wrapText="1"/>
    </xf>
    <xf numFmtId="0" fontId="10" fillId="0" borderId="0" xfId="0" applyNumberFormat="1" applyFont="1" applyFill="1">
      <alignment vertical="center"/>
    </xf>
    <xf numFmtId="0" fontId="11" fillId="0" borderId="0" xfId="0" applyNumberFormat="1" applyFont="1" applyFill="1" applyAlignment="1">
      <alignment horizontal="left" vertical="center" wrapText="1"/>
    </xf>
    <xf numFmtId="0" fontId="12" fillId="0" borderId="0" xfId="0" applyFont="1" applyFill="1" applyAlignment="1" applyProtection="1">
      <alignment horizontal="left" vertical="center"/>
      <protection hidden="1"/>
    </xf>
    <xf numFmtId="0" fontId="18" fillId="0" borderId="0" xfId="0" applyNumberFormat="1" applyFont="1" applyFill="1" applyAlignment="1">
      <alignment vertical="center" wrapText="1"/>
    </xf>
    <xf numFmtId="0" fontId="10" fillId="0" borderId="0" xfId="0" applyFont="1" applyFill="1" applyAlignment="1" applyProtection="1">
      <alignment horizontal="left" vertical="center"/>
      <protection hidden="1"/>
    </xf>
    <xf numFmtId="0" fontId="0" fillId="0" borderId="0" xfId="0" applyFont="1" applyFill="1" applyAlignment="1">
      <alignment horizontal="center" vertical="center"/>
    </xf>
    <xf numFmtId="0" fontId="16" fillId="0" borderId="1" xfId="0" applyNumberFormat="1" applyFont="1" applyFill="1" applyBorder="1" applyAlignment="1">
      <alignment horizontal="center" vertical="center"/>
    </xf>
    <xf numFmtId="0" fontId="4" fillId="0" borderId="1" xfId="0" applyFont="1" applyFill="1" applyBorder="1" applyAlignment="1" applyProtection="1">
      <alignment horizontal="center" vertical="center"/>
      <protection hidden="1"/>
    </xf>
    <xf numFmtId="0" fontId="4" fillId="0" borderId="0" xfId="0" applyFont="1" applyFill="1" applyBorder="1" applyAlignment="1" applyProtection="1">
      <alignment horizontal="center" vertical="center"/>
      <protection hidden="1"/>
    </xf>
    <xf numFmtId="0" fontId="30" fillId="0" borderId="0" xfId="0" applyFont="1" applyFill="1" applyAlignment="1" applyProtection="1">
      <alignment horizontal="left" vertical="center"/>
      <protection hidden="1"/>
    </xf>
    <xf numFmtId="180" fontId="10" fillId="0" borderId="4" xfId="0" applyNumberFormat="1" applyFont="1" applyFill="1" applyBorder="1" applyAlignment="1" applyProtection="1">
      <alignment horizontal="center" vertical="center"/>
      <protection hidden="1"/>
    </xf>
    <xf numFmtId="0" fontId="6" fillId="0" borderId="9" xfId="0" applyFont="1" applyFill="1" applyBorder="1" applyAlignment="1" applyProtection="1">
      <alignment horizontal="center" vertical="center"/>
      <protection hidden="1"/>
    </xf>
    <xf numFmtId="180" fontId="10" fillId="0" borderId="9" xfId="0" applyNumberFormat="1" applyFont="1" applyFill="1" applyBorder="1" applyAlignment="1" applyProtection="1">
      <alignment horizontal="center" vertical="center"/>
      <protection hidden="1"/>
    </xf>
    <xf numFmtId="0" fontId="31" fillId="0" borderId="0" xfId="0" applyFont="1" applyFill="1" applyAlignment="1" applyProtection="1">
      <alignment vertical="center" wrapText="1"/>
      <protection hidden="1"/>
    </xf>
    <xf numFmtId="180" fontId="8" fillId="0" borderId="5" xfId="0" applyNumberFormat="1" applyFont="1" applyFill="1" applyBorder="1" applyAlignment="1" applyProtection="1">
      <alignment horizontal="center" vertical="center"/>
      <protection hidden="1"/>
    </xf>
    <xf numFmtId="180" fontId="0" fillId="0" borderId="0" xfId="0" applyNumberFormat="1" applyFill="1" applyProtection="1">
      <alignment vertical="center"/>
      <protection hidden="1"/>
    </xf>
    <xf numFmtId="0" fontId="7" fillId="0" borderId="9" xfId="0" applyFont="1" applyFill="1" applyBorder="1" applyAlignment="1" applyProtection="1">
      <alignment horizontal="center" vertical="center"/>
      <protection hidden="1"/>
    </xf>
    <xf numFmtId="0" fontId="7" fillId="0" borderId="6" xfId="0" applyFont="1" applyFill="1" applyBorder="1" applyAlignment="1" applyProtection="1">
      <alignment horizontal="center" vertical="center"/>
      <protection hidden="1"/>
    </xf>
    <xf numFmtId="176" fontId="6" fillId="0" borderId="6" xfId="0" applyNumberFormat="1" applyFont="1" applyFill="1" applyBorder="1" applyAlignment="1" applyProtection="1">
      <alignment horizontal="center" vertical="center"/>
      <protection hidden="1"/>
    </xf>
    <xf numFmtId="0" fontId="32" fillId="0" borderId="6" xfId="0" applyFont="1" applyFill="1" applyBorder="1" applyAlignment="1" applyProtection="1">
      <alignment horizontal="center" vertical="center"/>
      <protection hidden="1"/>
    </xf>
    <xf numFmtId="0" fontId="33" fillId="0" borderId="6" xfId="0" applyFont="1" applyFill="1" applyBorder="1" applyAlignment="1" applyProtection="1">
      <alignment horizontal="center" vertical="center"/>
      <protection hidden="1"/>
    </xf>
    <xf numFmtId="0" fontId="34" fillId="0" borderId="6" xfId="0" applyFont="1" applyFill="1" applyBorder="1" applyAlignment="1" applyProtection="1">
      <alignment horizontal="center" vertical="center"/>
      <protection hidden="1"/>
    </xf>
    <xf numFmtId="0" fontId="0" fillId="0" borderId="0" xfId="0" applyFill="1" applyAlignment="1" applyProtection="1">
      <alignment horizontal="justify" vertical="center"/>
      <protection locked="0"/>
    </xf>
    <xf numFmtId="0" fontId="0" fillId="0" borderId="0" xfId="0" applyFill="1" applyAlignment="1" applyProtection="1">
      <alignment horizontal="center" vertical="center"/>
      <protection locked="0"/>
    </xf>
    <xf numFmtId="0" fontId="0" fillId="0" borderId="0" xfId="0" applyFill="1" applyAlignment="1">
      <alignment horizontal="justify" vertical="center"/>
    </xf>
    <xf numFmtId="177" fontId="0" fillId="0" borderId="0" xfId="0" applyNumberFormat="1" applyFill="1" applyAlignment="1">
      <alignment horizontal="justify" vertical="center"/>
    </xf>
    <xf numFmtId="0" fontId="35" fillId="0" borderId="0" xfId="0" applyFont="1" applyFill="1" applyBorder="1" applyAlignment="1" applyProtection="1">
      <alignment horizontal="center" vertical="center"/>
      <protection hidden="1"/>
    </xf>
    <xf numFmtId="0" fontId="15" fillId="0" borderId="0" xfId="0" applyFont="1" applyFill="1" applyBorder="1" applyProtection="1">
      <alignment vertical="center"/>
      <protection hidden="1"/>
    </xf>
    <xf numFmtId="0" fontId="34" fillId="0" borderId="0" xfId="0" applyFont="1" applyFill="1" applyBorder="1" applyAlignment="1" applyProtection="1">
      <alignment horizontal="center" vertical="center"/>
      <protection hidden="1"/>
    </xf>
    <xf numFmtId="0" fontId="0" fillId="0" borderId="0" xfId="0" applyFill="1" applyBorder="1" applyAlignment="1" applyProtection="1">
      <alignment horizontal="justify" vertical="center"/>
      <protection locked="0"/>
    </xf>
    <xf numFmtId="0" fontId="0" fillId="0" borderId="0" xfId="0" applyFill="1" applyBorder="1" applyAlignment="1" applyProtection="1">
      <alignment horizontal="center" vertical="center"/>
      <protection locked="0"/>
    </xf>
    <xf numFmtId="0" fontId="14" fillId="0" borderId="0" xfId="0" applyFont="1" applyFill="1" applyBorder="1" applyAlignment="1" applyProtection="1">
      <alignment horizontal="right" vertical="center"/>
      <protection hidden="1"/>
    </xf>
    <xf numFmtId="0" fontId="36" fillId="0" borderId="0" xfId="0" applyFont="1" applyFill="1" applyBorder="1" applyAlignment="1" applyProtection="1">
      <alignment horizontal="center" vertical="center" wrapText="1"/>
      <protection locked="0"/>
    </xf>
    <xf numFmtId="0" fontId="37" fillId="0" borderId="10" xfId="0" applyFont="1" applyFill="1" applyBorder="1" applyAlignment="1" applyProtection="1">
      <alignment horizontal="center" vertical="center" wrapText="1"/>
      <protection hidden="1"/>
    </xf>
    <xf numFmtId="0" fontId="38" fillId="0" borderId="11" xfId="0" applyFont="1" applyFill="1" applyBorder="1" applyAlignment="1" applyProtection="1">
      <alignment horizontal="center" vertical="center"/>
      <protection hidden="1"/>
    </xf>
    <xf numFmtId="0" fontId="39" fillId="0" borderId="12" xfId="0" applyFont="1" applyFill="1" applyBorder="1" applyAlignment="1" applyProtection="1">
      <alignment horizontal="center" vertical="center"/>
      <protection locked="0"/>
    </xf>
    <xf numFmtId="0" fontId="40" fillId="0" borderId="12" xfId="0" applyFont="1" applyFill="1" applyBorder="1" applyAlignment="1" applyProtection="1">
      <alignment horizontal="center" vertical="center"/>
      <protection locked="0"/>
    </xf>
    <xf numFmtId="0" fontId="40" fillId="0" borderId="13" xfId="0" applyFont="1" applyFill="1" applyBorder="1" applyAlignment="1" applyProtection="1">
      <alignment horizontal="center" vertical="center"/>
      <protection locked="0"/>
    </xf>
    <xf numFmtId="0" fontId="37" fillId="0" borderId="14" xfId="0" applyFont="1" applyFill="1" applyBorder="1" applyAlignment="1" applyProtection="1">
      <alignment horizontal="center" vertical="center" wrapText="1"/>
      <protection hidden="1"/>
    </xf>
    <xf numFmtId="0" fontId="38" fillId="0" borderId="15" xfId="0" applyFont="1" applyFill="1" applyBorder="1" applyAlignment="1" applyProtection="1">
      <alignment horizontal="center" vertical="center"/>
      <protection hidden="1"/>
    </xf>
    <xf numFmtId="0" fontId="40" fillId="0" borderId="16" xfId="0" applyFont="1" applyFill="1" applyBorder="1" applyAlignment="1" applyProtection="1">
      <alignment horizontal="center" vertical="center"/>
      <protection locked="0"/>
    </xf>
    <xf numFmtId="0" fontId="41" fillId="0" borderId="16" xfId="0" applyFont="1" applyFill="1" applyBorder="1" applyAlignment="1" applyProtection="1">
      <alignment horizontal="center" vertical="center"/>
      <protection locked="0"/>
    </xf>
    <xf numFmtId="0" fontId="40" fillId="0" borderId="17" xfId="0" applyFont="1" applyFill="1" applyBorder="1" applyAlignment="1" applyProtection="1">
      <alignment horizontal="center" vertical="center"/>
      <protection locked="0"/>
    </xf>
    <xf numFmtId="0" fontId="42" fillId="0" borderId="5" xfId="0" applyFont="1" applyFill="1" applyBorder="1" applyAlignment="1" applyProtection="1">
      <alignment horizontal="center" vertical="center" wrapText="1"/>
      <protection hidden="1"/>
    </xf>
    <xf numFmtId="0" fontId="43" fillId="0" borderId="5" xfId="0" applyFont="1" applyFill="1" applyBorder="1" applyAlignment="1" applyProtection="1">
      <alignment horizontal="left" vertical="center" wrapText="1" indent="1"/>
      <protection hidden="1"/>
    </xf>
    <xf numFmtId="0" fontId="44" fillId="0" borderId="5" xfId="0" applyFont="1" applyFill="1" applyBorder="1" applyAlignment="1" applyProtection="1">
      <alignment horizontal="left" vertical="center" wrapText="1" indent="1"/>
      <protection hidden="1"/>
    </xf>
    <xf numFmtId="0" fontId="32" fillId="0" borderId="5" xfId="0" applyFont="1" applyFill="1" applyBorder="1" applyAlignment="1" applyProtection="1">
      <alignment horizontal="center" vertical="center"/>
      <protection locked="0"/>
    </xf>
    <xf numFmtId="0" fontId="45" fillId="0" borderId="0" xfId="0" applyFont="1" applyFill="1" applyAlignment="1" applyProtection="1">
      <alignment horizontal="left" vertical="center"/>
      <protection hidden="1"/>
    </xf>
    <xf numFmtId="0" fontId="42" fillId="0" borderId="6" xfId="0" applyFont="1" applyFill="1" applyBorder="1" applyAlignment="1" applyProtection="1">
      <alignment horizontal="center" vertical="center" wrapText="1"/>
      <protection hidden="1"/>
    </xf>
    <xf numFmtId="0" fontId="43" fillId="0" borderId="6" xfId="0" applyFont="1" applyFill="1" applyBorder="1" applyAlignment="1" applyProtection="1">
      <alignment horizontal="left" vertical="center" wrapText="1" indent="1"/>
      <protection hidden="1"/>
    </xf>
    <xf numFmtId="0" fontId="44" fillId="0" borderId="6" xfId="0" applyFont="1" applyFill="1" applyBorder="1" applyAlignment="1" applyProtection="1">
      <alignment horizontal="left" vertical="center" wrapText="1" indent="1"/>
      <protection hidden="1"/>
    </xf>
    <xf numFmtId="0" fontId="32" fillId="0" borderId="6" xfId="0" applyFont="1" applyFill="1" applyBorder="1" applyAlignment="1" applyProtection="1">
      <alignment horizontal="center" vertical="center"/>
      <protection locked="0"/>
    </xf>
    <xf numFmtId="0" fontId="46" fillId="0" borderId="0" xfId="0" applyFont="1" applyFill="1">
      <alignment vertical="center"/>
    </xf>
    <xf numFmtId="0" fontId="47" fillId="0" borderId="0" xfId="0" applyFont="1" applyFill="1" applyAlignment="1" applyProtection="1">
      <alignment horizontal="center" vertical="center"/>
      <protection hidden="1"/>
    </xf>
    <xf numFmtId="0" fontId="2" fillId="0" borderId="0" xfId="0" applyFont="1" applyFill="1" applyAlignment="1" applyProtection="1">
      <alignment horizontal="center" vertical="center"/>
      <protection hidden="1"/>
    </xf>
    <xf numFmtId="0" fontId="46" fillId="0" borderId="0" xfId="0" applyFont="1" applyFill="1" applyProtection="1">
      <alignment vertical="center"/>
      <protection hidden="1"/>
    </xf>
    <xf numFmtId="0" fontId="48" fillId="0" borderId="0" xfId="0" applyFont="1" applyFill="1" applyAlignment="1" applyProtection="1">
      <alignment horizontal="center" vertical="center"/>
      <protection hidden="1"/>
    </xf>
    <xf numFmtId="0" fontId="49" fillId="0" borderId="0" xfId="0" applyFont="1" applyFill="1" applyProtection="1">
      <alignment vertical="center"/>
      <protection hidden="1"/>
    </xf>
    <xf numFmtId="0" fontId="50" fillId="0" borderId="0" xfId="0" applyFont="1" applyFill="1" applyAlignment="1" applyProtection="1">
      <alignment vertical="center" wrapText="1"/>
      <protection hidden="1"/>
    </xf>
    <xf numFmtId="0" fontId="51" fillId="0" borderId="0" xfId="0" applyFont="1" applyFill="1" applyAlignment="1" applyProtection="1">
      <alignment horizontal="center" vertical="center"/>
      <protection hidden="1"/>
    </xf>
    <xf numFmtId="0" fontId="52" fillId="0" borderId="0" xfId="6" applyFont="1" applyFill="1" applyAlignment="1" applyProtection="1">
      <alignment horizontal="right" vertical="center"/>
    </xf>
    <xf numFmtId="0" fontId="9" fillId="0" borderId="0" xfId="0" applyNumberFormat="1" applyFont="1" applyFill="1">
      <alignment vertical="center"/>
    </xf>
    <xf numFmtId="0" fontId="9" fillId="0" borderId="0" xfId="0" applyNumberFormat="1" applyFont="1" applyFill="1" applyAlignment="1">
      <alignment horizontal="left" vertical="center" wrapText="1"/>
    </xf>
    <xf numFmtId="0" fontId="53" fillId="0" borderId="0" xfId="49" applyFont="1" applyFill="1" applyAlignment="1" applyProtection="1">
      <alignment horizontal="left" vertical="center" wrapText="1"/>
    </xf>
    <xf numFmtId="0" fontId="53" fillId="0" borderId="0" xfId="49" applyFill="1" applyAlignment="1" applyProtection="1">
      <alignment vertical="center"/>
    </xf>
    <xf numFmtId="0" fontId="54" fillId="0" borderId="0" xfId="49" applyFont="1" applyFill="1" applyAlignment="1" applyProtection="1">
      <alignment horizontal="center" vertical="center"/>
    </xf>
    <xf numFmtId="0" fontId="55" fillId="0" borderId="0" xfId="49" applyFont="1" applyFill="1" applyAlignment="1" applyProtection="1">
      <alignment horizontal="center" vertical="center"/>
    </xf>
    <xf numFmtId="0" fontId="56" fillId="0" borderId="0" xfId="6" applyFont="1" applyFill="1" applyAlignment="1" applyProtection="1">
      <alignment horizontal="left" vertical="center"/>
    </xf>
    <xf numFmtId="0" fontId="52" fillId="0" borderId="0" xfId="6" applyFont="1" applyFill="1" applyAlignment="1" applyProtection="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21818</xdr:colOff>
      <xdr:row>13</xdr:row>
      <xdr:rowOff>24779</xdr:rowOff>
    </xdr:from>
    <xdr:to>
      <xdr:col>3</xdr:col>
      <xdr:colOff>1838241</xdr:colOff>
      <xdr:row>19</xdr:row>
      <xdr:rowOff>0</xdr:rowOff>
    </xdr:to>
    <xdr:pic>
      <xdr:nvPicPr>
        <xdr:cNvPr id="2" name="Picture 3" descr="0040"/>
        <xdr:cNvPicPr/>
      </xdr:nvPicPr>
      <xdr:blipFill>
        <a:blip r:embed="rId1">
          <a:clrChange>
            <a:clrFrom>
              <a:srgbClr val="FFFFFF"/>
            </a:clrFrom>
            <a:clrTo>
              <a:srgbClr val="FFFFFF">
                <a:alpha val="0"/>
              </a:srgbClr>
            </a:clrTo>
          </a:clrChange>
        </a:blip>
        <a:srcRect/>
        <a:stretch>
          <a:fillRect/>
        </a:stretch>
      </xdr:blipFill>
      <xdr:spPr>
        <a:xfrm>
          <a:off x="1898015" y="4330065"/>
          <a:ext cx="1816100" cy="2089785"/>
        </a:xfrm>
        <a:prstGeom prst="rect">
          <a:avLst/>
        </a:prstGeom>
        <a:noFill/>
        <a:ln w="9525" cap="flat" cmpd="sng">
          <a:noFill/>
          <a:prstDash val="solid"/>
          <a:miter/>
        </a:ln>
        <a:effectLst/>
      </xdr:spPr>
    </xdr:pic>
    <xdr:clientData/>
  </xdr:twoCellAnchor>
  <xdr:twoCellAnchor>
    <xdr:from>
      <xdr:col>3</xdr:col>
      <xdr:colOff>3038281</xdr:colOff>
      <xdr:row>12</xdr:row>
      <xdr:rowOff>37169</xdr:rowOff>
    </xdr:from>
    <xdr:to>
      <xdr:col>3</xdr:col>
      <xdr:colOff>4401962</xdr:colOff>
      <xdr:row>19</xdr:row>
      <xdr:rowOff>163822</xdr:rowOff>
    </xdr:to>
    <xdr:pic>
      <xdr:nvPicPr>
        <xdr:cNvPr id="3" name="Picture 4" descr="0041"/>
        <xdr:cNvPicPr/>
      </xdr:nvPicPr>
      <xdr:blipFill>
        <a:blip r:embed="rId2">
          <a:clrChange>
            <a:clrFrom>
              <a:srgbClr val="FFFFFF"/>
            </a:clrFrom>
            <a:clrTo>
              <a:srgbClr val="FFFFFF">
                <a:alpha val="0"/>
              </a:srgbClr>
            </a:clrTo>
          </a:clrChange>
        </a:blip>
        <a:srcRect/>
        <a:stretch>
          <a:fillRect/>
        </a:stretch>
      </xdr:blipFill>
      <xdr:spPr>
        <a:xfrm>
          <a:off x="4914265" y="4084955"/>
          <a:ext cx="1363980" cy="2498090"/>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shop35394430.taobao.com/" TargetMode="External"/></Relationships>
</file>

<file path=xl/worksheets/_rels/sheet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image" Target="../media/image4.jpeg"/></Relationships>
</file>

<file path=xl/worksheets/_rels/sheet4.xml.rels><?xml version="1.0" encoding="UTF-8" standalone="yes"?>
<Relationships xmlns="http://schemas.openxmlformats.org/package/2006/relationships"><Relationship Id="rId1" Type="http://schemas.openxmlformats.org/officeDocument/2006/relationships/image" Target="../media/image4.jpeg"/></Relationships>
</file>

<file path=xl/worksheets/_rels/sheet6.xml.rels><?xml version="1.0" encoding="UTF-8" standalone="yes"?>
<Relationships xmlns="http://schemas.openxmlformats.org/package/2006/relationships"><Relationship Id="rId1" Type="http://schemas.openxmlformats.org/officeDocument/2006/relationships/image" Target="../media/image5.jpeg"/></Relationships>
</file>

<file path=xl/worksheets/_rels/sheet7.xml.rels><?xml version="1.0" encoding="UTF-8" standalone="yes"?>
<Relationships xmlns="http://schemas.openxmlformats.org/package/2006/relationships"><Relationship Id="rId1" Type="http://schemas.openxmlformats.org/officeDocument/2006/relationships/image" Target="../media/image4.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9"/>
  <sheetViews>
    <sheetView showGridLines="0" tabSelected="1" workbookViewId="0">
      <selection activeCell="K18" sqref="K18:M18"/>
    </sheetView>
  </sheetViews>
  <sheetFormatPr defaultColWidth="0" defaultRowHeight="14.4" customHeight="1" zeroHeight="1"/>
  <cols>
    <col min="1" max="14" width="9" style="126" customWidth="1"/>
    <col min="15" max="16384" width="9" style="126" hidden="1"/>
  </cols>
  <sheetData>
    <row r="1"/>
    <row r="2"/>
    <row r="3"/>
    <row r="4"/>
    <row r="5"/>
    <row r="6" ht="61.2" spans="7:7">
      <c r="G6" s="127" t="s">
        <v>0</v>
      </c>
    </row>
    <row r="7" ht="45" spans="7:7">
      <c r="G7" s="128" t="s">
        <v>1</v>
      </c>
    </row>
    <row r="8"/>
    <row r="9"/>
    <row r="10"/>
    <row r="11" spans="1:1">
      <c r="A11" s="126" t="s">
        <v>2</v>
      </c>
    </row>
    <row r="12" ht="44.25" customHeight="1" spans="1:14">
      <c r="A12" s="125" t="s">
        <v>3</v>
      </c>
      <c r="B12" s="125"/>
      <c r="C12" s="125"/>
      <c r="D12" s="125"/>
      <c r="E12" s="125"/>
      <c r="F12" s="125"/>
      <c r="G12" s="125"/>
      <c r="H12" s="125"/>
      <c r="I12" s="125"/>
      <c r="J12" s="125"/>
      <c r="K12" s="125"/>
      <c r="L12" s="125"/>
      <c r="M12" s="125"/>
      <c r="N12" s="125"/>
    </row>
    <row r="13" s="125" customFormat="1" ht="34.5" customHeight="1" spans="1:1">
      <c r="A13" s="125" t="s">
        <v>4</v>
      </c>
    </row>
    <row r="14" spans="1:1">
      <c r="A14" s="126" t="s">
        <v>5</v>
      </c>
    </row>
    <row r="15"/>
    <row r="16"/>
    <row r="17"/>
    <row r="18" ht="25.8" spans="11:13">
      <c r="K18" s="130" t="s">
        <v>6</v>
      </c>
      <c r="L18" s="130"/>
      <c r="M18" s="130"/>
    </row>
    <row r="19"/>
    <row r="20"/>
    <row r="21"/>
    <row r="22"/>
    <row r="23" ht="20.4" spans="7:8">
      <c r="G23" s="129" t="s">
        <v>7</v>
      </c>
      <c r="H23" s="129"/>
    </row>
    <row r="24" hidden="1"/>
    <row r="25" hidden="1"/>
    <row r="26" hidden="1"/>
    <row r="27" hidden="1"/>
    <row r="28" hidden="1"/>
    <row r="29" hidden="1"/>
  </sheetData>
  <sheetProtection password="CF7A" sheet="1" objects="1" scenarios="1"/>
  <mergeCells count="4">
    <mergeCell ref="A12:N12"/>
    <mergeCell ref="A13:XFD13"/>
    <mergeCell ref="K18:M18"/>
    <mergeCell ref="G23:H23"/>
  </mergeCells>
  <hyperlinks>
    <hyperlink ref="K18:M18" location="首页!A1" display="进入测试&gt;&gt;&gt;&gt;&gt;"/>
    <hyperlink ref="G23:H23" r:id="rId1" display="更多测试题&gt;&gt;&gt;&gt;"/>
  </hyperlinks>
  <pageMargins left="0.7" right="0.7" top="0.75" bottom="0.75" header="0.3" footer="0.3"/>
  <pageSetup paperSize="9" fitToWidth="0" fitToHeight="0" orientation="landscape"/>
  <headerFooter/>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1"/>
  <sheetViews>
    <sheetView showGridLines="0" workbookViewId="0">
      <selection activeCell="D10" sqref="D10"/>
    </sheetView>
  </sheetViews>
  <sheetFormatPr defaultColWidth="0" defaultRowHeight="15.6" customHeight="1" zeroHeight="1"/>
  <cols>
    <col min="1" max="1" width="10.875" style="57" customWidth="1"/>
    <col min="2" max="2" width="10.25" style="57" customWidth="1"/>
    <col min="3" max="3" width="3.5" style="57" customWidth="1"/>
    <col min="4" max="4" width="73.875" style="57" customWidth="1"/>
    <col min="5" max="6" width="9" style="57" customWidth="1"/>
    <col min="7" max="7" width="10.25" style="57" hidden="1" customWidth="1"/>
    <col min="8" max="8" width="10.875" style="57" hidden="1" customWidth="1"/>
    <col min="9" max="9" width="4.375" style="57" hidden="1" customWidth="1"/>
    <col min="10" max="11" width="8.75" style="57" hidden="1" customWidth="1"/>
    <col min="12" max="12" width="3.5" style="57" hidden="1" customWidth="1"/>
    <col min="13" max="34" width="9" style="57" hidden="1" customWidth="1"/>
    <col min="35" max="37" width="0" style="57" hidden="1" customWidth="1"/>
    <col min="38" max="16384" width="9" style="57" hidden="1"/>
  </cols>
  <sheetData>
    <row r="1" ht="39" customHeight="1" spans="1:37">
      <c r="A1" s="1"/>
      <c r="B1" s="115" t="s">
        <v>8</v>
      </c>
      <c r="C1" s="116"/>
      <c r="D1" s="116"/>
      <c r="E1" s="1"/>
      <c r="L1" s="1"/>
      <c r="AI1" s="61" t="s">
        <v>9</v>
      </c>
      <c r="AJ1" s="62"/>
      <c r="AK1" s="63" t="s">
        <v>10</v>
      </c>
    </row>
    <row r="2" ht="20.25" customHeight="1" spans="1:37">
      <c r="A2" s="1"/>
      <c r="B2" s="116"/>
      <c r="C2" s="116"/>
      <c r="D2" s="116"/>
      <c r="E2" s="71"/>
      <c r="L2" s="71"/>
      <c r="AI2" s="61" t="s">
        <v>11</v>
      </c>
      <c r="AJ2" s="62"/>
      <c r="AK2" s="63" t="s">
        <v>12</v>
      </c>
    </row>
    <row r="3" s="114" customFormat="1" ht="30" customHeight="1" spans="1:37">
      <c r="A3" s="117"/>
      <c r="B3" s="118" t="s">
        <v>13</v>
      </c>
      <c r="C3" s="119" t="s">
        <v>14</v>
      </c>
      <c r="D3" s="120"/>
      <c r="E3" s="120"/>
      <c r="L3" s="120"/>
      <c r="AI3" s="61" t="s">
        <v>15</v>
      </c>
      <c r="AJ3" s="123"/>
      <c r="AK3" s="124" t="s">
        <v>16</v>
      </c>
    </row>
    <row r="4" s="114" customFormat="1" ht="30" customHeight="1" spans="1:37">
      <c r="A4" s="117"/>
      <c r="B4" s="117"/>
      <c r="C4" s="121" t="s">
        <v>17</v>
      </c>
      <c r="D4" s="119" t="s">
        <v>18</v>
      </c>
      <c r="E4" s="119"/>
      <c r="L4" s="119"/>
      <c r="AI4" s="61" t="s">
        <v>19</v>
      </c>
      <c r="AJ4" s="123"/>
      <c r="AK4" s="124" t="s">
        <v>20</v>
      </c>
    </row>
    <row r="5" s="114" customFormat="1" ht="30" customHeight="1" spans="1:37">
      <c r="A5" s="117"/>
      <c r="B5" s="117"/>
      <c r="C5" s="121" t="s">
        <v>21</v>
      </c>
      <c r="D5" s="119" t="s">
        <v>22</v>
      </c>
      <c r="E5" s="119"/>
      <c r="L5" s="119"/>
      <c r="AI5" s="61" t="s">
        <v>23</v>
      </c>
      <c r="AJ5" s="123"/>
      <c r="AK5" s="124" t="s">
        <v>24</v>
      </c>
    </row>
    <row r="6" s="114" customFormat="1" ht="30" customHeight="1" spans="1:37">
      <c r="A6" s="117"/>
      <c r="B6" s="117"/>
      <c r="C6" s="121" t="s">
        <v>25</v>
      </c>
      <c r="D6" s="119" t="s">
        <v>26</v>
      </c>
      <c r="E6" s="119"/>
      <c r="L6" s="119"/>
      <c r="AI6" s="61" t="s">
        <v>27</v>
      </c>
      <c r="AJ6" s="123"/>
      <c r="AK6" s="124" t="s">
        <v>28</v>
      </c>
    </row>
    <row r="7" s="114" customFormat="1" ht="30" customHeight="1" spans="1:37">
      <c r="A7" s="117"/>
      <c r="B7" s="118" t="s">
        <v>29</v>
      </c>
      <c r="C7" s="119" t="s">
        <v>30</v>
      </c>
      <c r="D7" s="120"/>
      <c r="E7" s="120"/>
      <c r="L7" s="120"/>
      <c r="AI7" s="61" t="s">
        <v>31</v>
      </c>
      <c r="AJ7" s="123"/>
      <c r="AK7" s="124" t="s">
        <v>32</v>
      </c>
    </row>
    <row r="8" ht="20.25" customHeight="1" spans="1:37">
      <c r="A8" s="1"/>
      <c r="B8" s="1"/>
      <c r="C8" s="25"/>
      <c r="D8" s="26"/>
      <c r="E8" s="26"/>
      <c r="L8" s="26"/>
      <c r="AI8" s="61" t="s">
        <v>33</v>
      </c>
      <c r="AJ8" s="62"/>
      <c r="AK8" s="63" t="s">
        <v>34</v>
      </c>
    </row>
    <row r="9" ht="20.25" customHeight="1" spans="1:37">
      <c r="A9" s="1"/>
      <c r="B9" s="1"/>
      <c r="C9" s="25"/>
      <c r="D9" s="26"/>
      <c r="E9" s="26"/>
      <c r="L9" s="26"/>
      <c r="AI9" s="61" t="s">
        <v>35</v>
      </c>
      <c r="AJ9" s="62"/>
      <c r="AK9" s="63" t="s">
        <v>36</v>
      </c>
    </row>
    <row r="10" ht="28.5" customHeight="1" spans="1:37">
      <c r="A10" s="1"/>
      <c r="B10" s="1"/>
      <c r="C10" s="25"/>
      <c r="D10" s="122" t="s">
        <v>6</v>
      </c>
      <c r="E10" s="26"/>
      <c r="L10" s="26"/>
      <c r="AI10" s="61" t="s">
        <v>37</v>
      </c>
      <c r="AJ10" s="62"/>
      <c r="AK10" s="63" t="s">
        <v>38</v>
      </c>
    </row>
    <row r="11" ht="20.25" customHeight="1" spans="1:37">
      <c r="A11" s="1"/>
      <c r="B11" s="1"/>
      <c r="C11" s="25"/>
      <c r="D11" s="26"/>
      <c r="E11" s="26"/>
      <c r="L11" s="26"/>
      <c r="AI11" s="61" t="s">
        <v>39</v>
      </c>
      <c r="AJ11" s="62"/>
      <c r="AK11" s="63" t="s">
        <v>40</v>
      </c>
    </row>
    <row r="12" ht="20.25" customHeight="1" spans="1:37">
      <c r="A12" s="1"/>
      <c r="B12" s="1"/>
      <c r="C12" s="25"/>
      <c r="D12" s="26"/>
      <c r="E12" s="26"/>
      <c r="L12" s="26"/>
      <c r="AI12" s="61" t="s">
        <v>41</v>
      </c>
      <c r="AJ12" s="62"/>
      <c r="AK12" s="63" t="s">
        <v>42</v>
      </c>
    </row>
    <row r="13" ht="20.25" customHeight="1" spans="1:37">
      <c r="A13" s="1"/>
      <c r="B13" s="1"/>
      <c r="C13" s="1"/>
      <c r="D13" s="1"/>
      <c r="E13" s="1"/>
      <c r="L13" s="1"/>
      <c r="AI13" s="61" t="s">
        <v>43</v>
      </c>
      <c r="AJ13" s="62"/>
      <c r="AK13" s="63" t="s">
        <v>44</v>
      </c>
    </row>
    <row r="14" ht="27.75" customHeight="1"/>
    <row r="15" ht="27.75" customHeight="1"/>
    <row r="16" ht="27.75" customHeight="1"/>
    <row r="17" ht="27.75" customHeight="1"/>
    <row r="18" ht="27.75" customHeight="1"/>
    <row r="19" ht="27.75" customHeight="1"/>
    <row r="20" ht="27.75" customHeight="1"/>
    <row r="21" ht="27.75" customHeight="1"/>
  </sheetData>
  <sheetProtection password="CF7A" sheet="1" objects="1" scenarios="1"/>
  <mergeCells count="1">
    <mergeCell ref="B1:D2"/>
  </mergeCells>
  <conditionalFormatting sqref="AI1:AK13">
    <cfRule type="expression" priority="2">
      <formula>"$F$22=1"</formula>
    </cfRule>
  </conditionalFormatting>
  <hyperlinks>
    <hyperlink ref="D10" location="测试题!A1" display="进入测试&gt;&gt;&gt;&gt;&gt;"/>
  </hyperlinks>
  <printOptions horizontalCentered="1"/>
  <pageMargins left="0.15748031496063" right="0.15748031496063" top="0.393700787401575" bottom="0.393700787401575" header="0.511811023622047" footer="0.511811023622047"/>
  <pageSetup paperSize="9" scale="75" orientation="portrait"/>
  <headerFooter alignWithMargins="0"/>
  <drawing r:id="rId1"/>
  <picture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6"/>
  <sheetViews>
    <sheetView showGridLines="0" workbookViewId="0">
      <pane ySplit="6" topLeftCell="A183" activePane="bottomLeft" state="frozen"/>
      <selection/>
      <selection pane="bottomLeft" activeCell="F186" sqref="F186"/>
    </sheetView>
  </sheetViews>
  <sheetFormatPr defaultColWidth="0" defaultRowHeight="15.6" customHeight="1" zeroHeight="1" outlineLevelCol="7"/>
  <cols>
    <col min="1" max="1" width="9.75" style="81" customWidth="1"/>
    <col min="2" max="2" width="42" style="82" customWidth="1"/>
    <col min="3" max="3" width="42" style="83" customWidth="1"/>
    <col min="4" max="4" width="6" style="84" customWidth="1"/>
    <col min="5" max="5" width="6" style="85" customWidth="1"/>
    <col min="6" max="6" width="6" style="84" customWidth="1"/>
    <col min="7" max="7" width="9" style="86" hidden="1" customWidth="1"/>
    <col min="8" max="8" width="9" style="87" hidden="1" customWidth="1"/>
    <col min="9" max="9" width="9" style="86" hidden="1" customWidth="1"/>
    <col min="10" max="10" width="3.625" style="86" hidden="1" customWidth="1"/>
    <col min="11" max="16384" width="9" style="86" hidden="1"/>
  </cols>
  <sheetData>
    <row r="1" ht="27.75" customHeight="1" spans="1:6">
      <c r="A1" s="88" t="s">
        <v>13</v>
      </c>
      <c r="B1" s="89" t="s">
        <v>45</v>
      </c>
      <c r="C1" s="90"/>
      <c r="D1" s="91"/>
      <c r="E1" s="92"/>
      <c r="F1" s="91"/>
    </row>
    <row r="2" ht="27.75" customHeight="1" spans="1:6">
      <c r="A2" s="93">
        <v>1</v>
      </c>
      <c r="B2" s="89" t="s">
        <v>46</v>
      </c>
      <c r="C2" s="90"/>
      <c r="D2" s="91"/>
      <c r="E2" s="92"/>
      <c r="F2" s="91"/>
    </row>
    <row r="3" ht="27.75" customHeight="1" spans="1:6">
      <c r="A3" s="93">
        <v>2</v>
      </c>
      <c r="B3" s="89" t="s">
        <v>47</v>
      </c>
      <c r="C3" s="90"/>
      <c r="D3" s="91"/>
      <c r="E3" s="92"/>
      <c r="F3" s="91"/>
    </row>
    <row r="4" ht="27.75" customHeight="1" spans="1:6">
      <c r="A4" s="93">
        <v>3</v>
      </c>
      <c r="B4" s="89" t="s">
        <v>48</v>
      </c>
      <c r="C4" s="90"/>
      <c r="D4" s="94" t="s">
        <v>49</v>
      </c>
      <c r="E4" s="94"/>
      <c r="F4" s="94"/>
    </row>
    <row r="5" ht="18.75" customHeight="1" spans="1:6">
      <c r="A5" s="95" t="s">
        <v>50</v>
      </c>
      <c r="B5" s="96" t="s">
        <v>51</v>
      </c>
      <c r="C5" s="96" t="s">
        <v>52</v>
      </c>
      <c r="D5" s="97" t="s">
        <v>53</v>
      </c>
      <c r="E5" s="98"/>
      <c r="F5" s="99"/>
    </row>
    <row r="6" ht="19.5" customHeight="1" spans="1:8">
      <c r="A6" s="100"/>
      <c r="B6" s="101"/>
      <c r="C6" s="101"/>
      <c r="D6" s="102" t="s">
        <v>54</v>
      </c>
      <c r="E6" s="103" t="s">
        <v>55</v>
      </c>
      <c r="F6" s="104" t="s">
        <v>56</v>
      </c>
      <c r="H6" s="87">
        <f>SUM(H7:H186)</f>
        <v>180</v>
      </c>
    </row>
    <row r="7" s="58" customFormat="1" ht="33.75" customHeight="1" spans="1:8">
      <c r="A7" s="105">
        <v>1</v>
      </c>
      <c r="B7" s="106" t="s">
        <v>57</v>
      </c>
      <c r="C7" s="107" t="s">
        <v>58</v>
      </c>
      <c r="D7" s="108"/>
      <c r="E7" s="108"/>
      <c r="F7" s="108">
        <v>2</v>
      </c>
      <c r="G7" s="109" t="str">
        <f>IF(OR(AND(D7&gt;0,E7&gt;0),AND(D7&gt;0,F7&gt;0),AND(E7&gt;0,F7&gt;0)),"重复！","")</f>
        <v/>
      </c>
      <c r="H7" s="87">
        <f t="shared" ref="H7:H70" si="0">IF(AND(D7="",E7="",F7=""),"",1)</f>
        <v>1</v>
      </c>
    </row>
    <row r="8" ht="33.75" customHeight="1" spans="1:8">
      <c r="A8" s="110">
        <f>A7+1</f>
        <v>2</v>
      </c>
      <c r="B8" s="111" t="s">
        <v>59</v>
      </c>
      <c r="C8" s="112" t="s">
        <v>60</v>
      </c>
      <c r="D8" s="108">
        <v>2</v>
      </c>
      <c r="E8" s="113"/>
      <c r="F8" s="113"/>
      <c r="G8" s="109" t="str">
        <f t="shared" ref="G8:G71" si="1">IF(OR(AND(D8&gt;0,E8&gt;0),AND(D8&gt;0,F8&gt;0),AND(E8&gt;0,F8&gt;0)),"重复！","")</f>
        <v/>
      </c>
      <c r="H8" s="87">
        <f t="shared" si="0"/>
        <v>1</v>
      </c>
    </row>
    <row r="9" ht="33.75" customHeight="1" spans="1:8">
      <c r="A9" s="110">
        <f t="shared" ref="A9:A72" si="2">A8+1</f>
        <v>3</v>
      </c>
      <c r="B9" s="111" t="s">
        <v>61</v>
      </c>
      <c r="C9" s="112" t="s">
        <v>62</v>
      </c>
      <c r="D9" s="108"/>
      <c r="E9" s="113"/>
      <c r="F9" s="113">
        <v>2</v>
      </c>
      <c r="G9" s="109" t="str">
        <f t="shared" si="1"/>
        <v/>
      </c>
      <c r="H9" s="87">
        <f t="shared" si="0"/>
        <v>1</v>
      </c>
    </row>
    <row r="10" ht="33.75" customHeight="1" spans="1:8">
      <c r="A10" s="110">
        <f t="shared" si="2"/>
        <v>4</v>
      </c>
      <c r="B10" s="111" t="s">
        <v>63</v>
      </c>
      <c r="C10" s="112" t="s">
        <v>64</v>
      </c>
      <c r="D10" s="108"/>
      <c r="E10" s="108"/>
      <c r="F10" s="108">
        <v>2</v>
      </c>
      <c r="G10" s="109" t="str">
        <f t="shared" si="1"/>
        <v/>
      </c>
      <c r="H10" s="87">
        <f t="shared" si="0"/>
        <v>1</v>
      </c>
    </row>
    <row r="11" ht="33.75" customHeight="1" spans="1:8">
      <c r="A11" s="110">
        <f t="shared" si="2"/>
        <v>5</v>
      </c>
      <c r="B11" s="111" t="s">
        <v>65</v>
      </c>
      <c r="C11" s="112" t="s">
        <v>66</v>
      </c>
      <c r="D11" s="108">
        <v>2</v>
      </c>
      <c r="E11" s="113"/>
      <c r="F11" s="113"/>
      <c r="G11" s="109" t="str">
        <f t="shared" si="1"/>
        <v/>
      </c>
      <c r="H11" s="87">
        <f t="shared" si="0"/>
        <v>1</v>
      </c>
    </row>
    <row r="12" ht="33.75" customHeight="1" spans="1:8">
      <c r="A12" s="110">
        <f t="shared" si="2"/>
        <v>6</v>
      </c>
      <c r="B12" s="111" t="s">
        <v>67</v>
      </c>
      <c r="C12" s="112" t="s">
        <v>68</v>
      </c>
      <c r="D12" s="108"/>
      <c r="E12" s="113"/>
      <c r="F12" s="113">
        <v>2</v>
      </c>
      <c r="G12" s="109" t="str">
        <f t="shared" si="1"/>
        <v/>
      </c>
      <c r="H12" s="87">
        <f t="shared" si="0"/>
        <v>1</v>
      </c>
    </row>
    <row r="13" ht="33.75" customHeight="1" spans="1:8">
      <c r="A13" s="110">
        <f t="shared" si="2"/>
        <v>7</v>
      </c>
      <c r="B13" s="111" t="s">
        <v>69</v>
      </c>
      <c r="C13" s="112" t="s">
        <v>70</v>
      </c>
      <c r="D13" s="108"/>
      <c r="E13" s="108"/>
      <c r="F13" s="108">
        <v>2</v>
      </c>
      <c r="G13" s="109" t="str">
        <f t="shared" si="1"/>
        <v/>
      </c>
      <c r="H13" s="87">
        <f t="shared" si="0"/>
        <v>1</v>
      </c>
    </row>
    <row r="14" ht="33.75" customHeight="1" spans="1:8">
      <c r="A14" s="110">
        <f t="shared" si="2"/>
        <v>8</v>
      </c>
      <c r="B14" s="111" t="s">
        <v>71</v>
      </c>
      <c r="C14" s="112" t="s">
        <v>72</v>
      </c>
      <c r="D14" s="108"/>
      <c r="E14" s="113"/>
      <c r="F14" s="113">
        <v>2</v>
      </c>
      <c r="G14" s="109" t="str">
        <f t="shared" si="1"/>
        <v/>
      </c>
      <c r="H14" s="87">
        <f t="shared" si="0"/>
        <v>1</v>
      </c>
    </row>
    <row r="15" ht="33.75" customHeight="1" spans="1:8">
      <c r="A15" s="110">
        <f t="shared" si="2"/>
        <v>9</v>
      </c>
      <c r="B15" s="111" t="s">
        <v>73</v>
      </c>
      <c r="C15" s="112" t="s">
        <v>74</v>
      </c>
      <c r="D15" s="108"/>
      <c r="E15" s="113"/>
      <c r="F15" s="113">
        <v>2</v>
      </c>
      <c r="G15" s="109" t="str">
        <f t="shared" si="1"/>
        <v/>
      </c>
      <c r="H15" s="87">
        <f t="shared" si="0"/>
        <v>1</v>
      </c>
    </row>
    <row r="16" ht="33.75" customHeight="1" spans="1:8">
      <c r="A16" s="110">
        <f t="shared" si="2"/>
        <v>10</v>
      </c>
      <c r="B16" s="111" t="s">
        <v>75</v>
      </c>
      <c r="C16" s="112" t="s">
        <v>76</v>
      </c>
      <c r="D16" s="108"/>
      <c r="E16" s="108"/>
      <c r="F16" s="108">
        <v>3</v>
      </c>
      <c r="G16" s="109" t="str">
        <f t="shared" si="1"/>
        <v/>
      </c>
      <c r="H16" s="87">
        <f t="shared" si="0"/>
        <v>1</v>
      </c>
    </row>
    <row r="17" ht="33.75" customHeight="1" spans="1:8">
      <c r="A17" s="110">
        <f t="shared" si="2"/>
        <v>11</v>
      </c>
      <c r="B17" s="111" t="s">
        <v>77</v>
      </c>
      <c r="C17" s="112" t="s">
        <v>78</v>
      </c>
      <c r="D17" s="108"/>
      <c r="E17" s="113"/>
      <c r="F17" s="113">
        <v>2</v>
      </c>
      <c r="G17" s="109" t="str">
        <f t="shared" si="1"/>
        <v/>
      </c>
      <c r="H17" s="87">
        <f t="shared" si="0"/>
        <v>1</v>
      </c>
    </row>
    <row r="18" ht="33.75" customHeight="1" spans="1:8">
      <c r="A18" s="110">
        <f t="shared" si="2"/>
        <v>12</v>
      </c>
      <c r="B18" s="111" t="s">
        <v>79</v>
      </c>
      <c r="C18" s="112" t="s">
        <v>80</v>
      </c>
      <c r="D18" s="108"/>
      <c r="E18" s="113"/>
      <c r="F18" s="113">
        <v>2</v>
      </c>
      <c r="G18" s="109" t="str">
        <f t="shared" si="1"/>
        <v/>
      </c>
      <c r="H18" s="87">
        <f t="shared" si="0"/>
        <v>1</v>
      </c>
    </row>
    <row r="19" ht="33.75" customHeight="1" spans="1:8">
      <c r="A19" s="110">
        <f t="shared" si="2"/>
        <v>13</v>
      </c>
      <c r="B19" s="111" t="s">
        <v>81</v>
      </c>
      <c r="C19" s="112" t="s">
        <v>82</v>
      </c>
      <c r="D19" s="108">
        <v>3</v>
      </c>
      <c r="E19" s="108"/>
      <c r="F19" s="108"/>
      <c r="G19" s="109" t="str">
        <f t="shared" si="1"/>
        <v/>
      </c>
      <c r="H19" s="87">
        <f t="shared" si="0"/>
        <v>1</v>
      </c>
    </row>
    <row r="20" ht="33.75" customHeight="1" spans="1:8">
      <c r="A20" s="110">
        <f t="shared" si="2"/>
        <v>14</v>
      </c>
      <c r="B20" s="111" t="s">
        <v>83</v>
      </c>
      <c r="C20" s="112" t="s">
        <v>84</v>
      </c>
      <c r="D20" s="108">
        <v>2</v>
      </c>
      <c r="E20" s="113"/>
      <c r="F20" s="113"/>
      <c r="G20" s="109" t="str">
        <f t="shared" si="1"/>
        <v/>
      </c>
      <c r="H20" s="87">
        <f t="shared" si="0"/>
        <v>1</v>
      </c>
    </row>
    <row r="21" ht="33.75" customHeight="1" spans="1:8">
      <c r="A21" s="110">
        <f t="shared" si="2"/>
        <v>15</v>
      </c>
      <c r="B21" s="111" t="s">
        <v>85</v>
      </c>
      <c r="C21" s="112" t="s">
        <v>86</v>
      </c>
      <c r="D21" s="108">
        <v>2</v>
      </c>
      <c r="E21" s="113"/>
      <c r="F21" s="113"/>
      <c r="G21" s="109" t="str">
        <f t="shared" si="1"/>
        <v/>
      </c>
      <c r="H21" s="87">
        <f t="shared" si="0"/>
        <v>1</v>
      </c>
    </row>
    <row r="22" ht="33.75" customHeight="1" spans="1:8">
      <c r="A22" s="110">
        <f t="shared" si="2"/>
        <v>16</v>
      </c>
      <c r="B22" s="111" t="s">
        <v>87</v>
      </c>
      <c r="C22" s="112" t="s">
        <v>88</v>
      </c>
      <c r="D22" s="108">
        <v>3</v>
      </c>
      <c r="E22" s="108"/>
      <c r="F22" s="108"/>
      <c r="G22" s="109" t="str">
        <f t="shared" si="1"/>
        <v/>
      </c>
      <c r="H22" s="87">
        <f t="shared" si="0"/>
        <v>1</v>
      </c>
    </row>
    <row r="23" ht="33.75" customHeight="1" spans="1:8">
      <c r="A23" s="110">
        <f t="shared" si="2"/>
        <v>17</v>
      </c>
      <c r="B23" s="111" t="s">
        <v>89</v>
      </c>
      <c r="C23" s="112" t="s">
        <v>90</v>
      </c>
      <c r="D23" s="108">
        <v>3</v>
      </c>
      <c r="E23" s="113"/>
      <c r="F23" s="113"/>
      <c r="G23" s="109" t="str">
        <f t="shared" si="1"/>
        <v/>
      </c>
      <c r="H23" s="87">
        <f t="shared" si="0"/>
        <v>1</v>
      </c>
    </row>
    <row r="24" ht="33.75" customHeight="1" spans="1:8">
      <c r="A24" s="110">
        <f t="shared" si="2"/>
        <v>18</v>
      </c>
      <c r="B24" s="111" t="s">
        <v>91</v>
      </c>
      <c r="C24" s="112" t="s">
        <v>92</v>
      </c>
      <c r="D24" s="108"/>
      <c r="E24" s="113"/>
      <c r="F24" s="113">
        <v>3</v>
      </c>
      <c r="G24" s="109" t="str">
        <f t="shared" si="1"/>
        <v/>
      </c>
      <c r="H24" s="87">
        <f t="shared" si="0"/>
        <v>1</v>
      </c>
    </row>
    <row r="25" ht="33.75" customHeight="1" spans="1:8">
      <c r="A25" s="110">
        <f t="shared" si="2"/>
        <v>19</v>
      </c>
      <c r="B25" s="111" t="s">
        <v>93</v>
      </c>
      <c r="C25" s="112" t="s">
        <v>94</v>
      </c>
      <c r="D25" s="108"/>
      <c r="E25" s="108"/>
      <c r="F25" s="108">
        <v>2</v>
      </c>
      <c r="G25" s="109" t="str">
        <f t="shared" si="1"/>
        <v/>
      </c>
      <c r="H25" s="87">
        <f t="shared" si="0"/>
        <v>1</v>
      </c>
    </row>
    <row r="26" ht="33.75" customHeight="1" spans="1:8">
      <c r="A26" s="110">
        <f t="shared" si="2"/>
        <v>20</v>
      </c>
      <c r="B26" s="111" t="s">
        <v>95</v>
      </c>
      <c r="C26" s="112" t="s">
        <v>96</v>
      </c>
      <c r="D26" s="108"/>
      <c r="E26" s="113"/>
      <c r="F26" s="113">
        <v>2</v>
      </c>
      <c r="G26" s="109" t="str">
        <f t="shared" si="1"/>
        <v/>
      </c>
      <c r="H26" s="87">
        <f t="shared" si="0"/>
        <v>1</v>
      </c>
    </row>
    <row r="27" ht="33.75" customHeight="1" spans="1:8">
      <c r="A27" s="110">
        <f t="shared" si="2"/>
        <v>21</v>
      </c>
      <c r="B27" s="111" t="s">
        <v>97</v>
      </c>
      <c r="C27" s="112" t="s">
        <v>98</v>
      </c>
      <c r="D27" s="108">
        <v>3</v>
      </c>
      <c r="E27" s="113"/>
      <c r="F27" s="113"/>
      <c r="G27" s="109" t="str">
        <f t="shared" si="1"/>
        <v/>
      </c>
      <c r="H27" s="87">
        <f t="shared" si="0"/>
        <v>1</v>
      </c>
    </row>
    <row r="28" ht="33.75" customHeight="1" spans="1:8">
      <c r="A28" s="110">
        <f t="shared" si="2"/>
        <v>22</v>
      </c>
      <c r="B28" s="111" t="s">
        <v>99</v>
      </c>
      <c r="C28" s="112" t="s">
        <v>100</v>
      </c>
      <c r="D28" s="108"/>
      <c r="E28" s="108"/>
      <c r="F28" s="108">
        <v>3</v>
      </c>
      <c r="G28" s="109" t="str">
        <f t="shared" si="1"/>
        <v/>
      </c>
      <c r="H28" s="87">
        <f t="shared" si="0"/>
        <v>1</v>
      </c>
    </row>
    <row r="29" ht="33.75" customHeight="1" spans="1:8">
      <c r="A29" s="110">
        <f t="shared" si="2"/>
        <v>23</v>
      </c>
      <c r="B29" s="111" t="s">
        <v>101</v>
      </c>
      <c r="C29" s="112" t="s">
        <v>102</v>
      </c>
      <c r="D29" s="108">
        <v>2</v>
      </c>
      <c r="E29" s="113"/>
      <c r="F29" s="113"/>
      <c r="G29" s="109" t="str">
        <f t="shared" si="1"/>
        <v/>
      </c>
      <c r="H29" s="87">
        <f t="shared" si="0"/>
        <v>1</v>
      </c>
    </row>
    <row r="30" ht="33.75" customHeight="1" spans="1:8">
      <c r="A30" s="110">
        <f t="shared" si="2"/>
        <v>24</v>
      </c>
      <c r="B30" s="111" t="s">
        <v>103</v>
      </c>
      <c r="C30" s="112" t="s">
        <v>104</v>
      </c>
      <c r="D30" s="108"/>
      <c r="E30" s="113"/>
      <c r="F30" s="113">
        <v>3</v>
      </c>
      <c r="G30" s="109" t="str">
        <f t="shared" si="1"/>
        <v/>
      </c>
      <c r="H30" s="87">
        <f t="shared" si="0"/>
        <v>1</v>
      </c>
    </row>
    <row r="31" ht="33.75" customHeight="1" spans="1:8">
      <c r="A31" s="110">
        <f t="shared" si="2"/>
        <v>25</v>
      </c>
      <c r="B31" s="111" t="s">
        <v>105</v>
      </c>
      <c r="C31" s="112" t="s">
        <v>106</v>
      </c>
      <c r="D31" s="108"/>
      <c r="E31" s="108">
        <v>1</v>
      </c>
      <c r="F31" s="108"/>
      <c r="G31" s="109" t="str">
        <f t="shared" si="1"/>
        <v/>
      </c>
      <c r="H31" s="87">
        <f t="shared" si="0"/>
        <v>1</v>
      </c>
    </row>
    <row r="32" ht="33.75" customHeight="1" spans="1:8">
      <c r="A32" s="110">
        <f t="shared" si="2"/>
        <v>26</v>
      </c>
      <c r="B32" s="111" t="s">
        <v>107</v>
      </c>
      <c r="C32" s="112" t="s">
        <v>108</v>
      </c>
      <c r="D32" s="108"/>
      <c r="E32" s="113"/>
      <c r="F32" s="113">
        <v>3</v>
      </c>
      <c r="G32" s="109" t="str">
        <f t="shared" si="1"/>
        <v/>
      </c>
      <c r="H32" s="87">
        <f t="shared" si="0"/>
        <v>1</v>
      </c>
    </row>
    <row r="33" ht="33.75" customHeight="1" spans="1:8">
      <c r="A33" s="110">
        <f t="shared" si="2"/>
        <v>27</v>
      </c>
      <c r="B33" s="111" t="s">
        <v>109</v>
      </c>
      <c r="C33" s="112" t="s">
        <v>110</v>
      </c>
      <c r="D33" s="108"/>
      <c r="E33" s="113"/>
      <c r="F33" s="113">
        <v>2</v>
      </c>
      <c r="G33" s="109" t="str">
        <f t="shared" si="1"/>
        <v/>
      </c>
      <c r="H33" s="87">
        <f t="shared" si="0"/>
        <v>1</v>
      </c>
    </row>
    <row r="34" ht="33.75" customHeight="1" spans="1:8">
      <c r="A34" s="110">
        <f t="shared" si="2"/>
        <v>28</v>
      </c>
      <c r="B34" s="111" t="s">
        <v>111</v>
      </c>
      <c r="C34" s="112" t="s">
        <v>112</v>
      </c>
      <c r="D34" s="108"/>
      <c r="E34" s="108"/>
      <c r="F34" s="108">
        <v>2</v>
      </c>
      <c r="G34" s="109" t="str">
        <f t="shared" si="1"/>
        <v/>
      </c>
      <c r="H34" s="87">
        <f t="shared" si="0"/>
        <v>1</v>
      </c>
    </row>
    <row r="35" ht="33.75" customHeight="1" spans="1:8">
      <c r="A35" s="110">
        <f t="shared" si="2"/>
        <v>29</v>
      </c>
      <c r="B35" s="111" t="s">
        <v>113</v>
      </c>
      <c r="C35" s="112" t="s">
        <v>114</v>
      </c>
      <c r="D35" s="108"/>
      <c r="E35" s="113">
        <v>1</v>
      </c>
      <c r="F35" s="113"/>
      <c r="G35" s="109" t="str">
        <f t="shared" si="1"/>
        <v/>
      </c>
      <c r="H35" s="87">
        <f t="shared" si="0"/>
        <v>1</v>
      </c>
    </row>
    <row r="36" ht="33.75" customHeight="1" spans="1:8">
      <c r="A36" s="110">
        <f t="shared" si="2"/>
        <v>30</v>
      </c>
      <c r="B36" s="111" t="s">
        <v>115</v>
      </c>
      <c r="C36" s="112" t="s">
        <v>116</v>
      </c>
      <c r="D36" s="108">
        <v>2</v>
      </c>
      <c r="E36" s="113"/>
      <c r="F36" s="113"/>
      <c r="G36" s="109" t="str">
        <f t="shared" si="1"/>
        <v/>
      </c>
      <c r="H36" s="87">
        <f t="shared" si="0"/>
        <v>1</v>
      </c>
    </row>
    <row r="37" ht="33.75" customHeight="1" spans="1:8">
      <c r="A37" s="110">
        <f t="shared" si="2"/>
        <v>31</v>
      </c>
      <c r="B37" s="111" t="s">
        <v>117</v>
      </c>
      <c r="C37" s="112" t="s">
        <v>118</v>
      </c>
      <c r="D37" s="108">
        <v>2</v>
      </c>
      <c r="E37" s="108"/>
      <c r="F37" s="108"/>
      <c r="G37" s="109" t="str">
        <f t="shared" si="1"/>
        <v/>
      </c>
      <c r="H37" s="87">
        <f t="shared" si="0"/>
        <v>1</v>
      </c>
    </row>
    <row r="38" ht="33.75" customHeight="1" spans="1:8">
      <c r="A38" s="110">
        <f t="shared" si="2"/>
        <v>32</v>
      </c>
      <c r="B38" s="111" t="s">
        <v>119</v>
      </c>
      <c r="C38" s="112" t="s">
        <v>120</v>
      </c>
      <c r="D38" s="108"/>
      <c r="E38" s="113"/>
      <c r="F38" s="113">
        <v>3</v>
      </c>
      <c r="G38" s="109" t="str">
        <f t="shared" si="1"/>
        <v/>
      </c>
      <c r="H38" s="87">
        <f t="shared" si="0"/>
        <v>1</v>
      </c>
    </row>
    <row r="39" ht="33.75" customHeight="1" spans="1:8">
      <c r="A39" s="110">
        <f t="shared" si="2"/>
        <v>33</v>
      </c>
      <c r="B39" s="111" t="s">
        <v>121</v>
      </c>
      <c r="C39" s="112" t="s">
        <v>122</v>
      </c>
      <c r="D39" s="108"/>
      <c r="E39" s="113">
        <v>1</v>
      </c>
      <c r="F39" s="113"/>
      <c r="G39" s="109" t="str">
        <f t="shared" si="1"/>
        <v/>
      </c>
      <c r="H39" s="87">
        <f t="shared" si="0"/>
        <v>1</v>
      </c>
    </row>
    <row r="40" ht="33.75" customHeight="1" spans="1:8">
      <c r="A40" s="110">
        <f t="shared" si="2"/>
        <v>34</v>
      </c>
      <c r="B40" s="111" t="s">
        <v>123</v>
      </c>
      <c r="C40" s="112" t="s">
        <v>124</v>
      </c>
      <c r="D40" s="108">
        <v>2</v>
      </c>
      <c r="E40" s="108"/>
      <c r="F40" s="108"/>
      <c r="G40" s="109" t="str">
        <f t="shared" si="1"/>
        <v/>
      </c>
      <c r="H40" s="87">
        <f t="shared" si="0"/>
        <v>1</v>
      </c>
    </row>
    <row r="41" ht="33.75" customHeight="1" spans="1:8">
      <c r="A41" s="110">
        <f t="shared" si="2"/>
        <v>35</v>
      </c>
      <c r="B41" s="111" t="s">
        <v>125</v>
      </c>
      <c r="C41" s="112" t="s">
        <v>126</v>
      </c>
      <c r="D41" s="108">
        <v>2</v>
      </c>
      <c r="E41" s="113"/>
      <c r="F41" s="113"/>
      <c r="G41" s="109" t="str">
        <f t="shared" si="1"/>
        <v/>
      </c>
      <c r="H41" s="87">
        <f t="shared" si="0"/>
        <v>1</v>
      </c>
    </row>
    <row r="42" ht="33.75" customHeight="1" spans="1:8">
      <c r="A42" s="110">
        <f t="shared" si="2"/>
        <v>36</v>
      </c>
      <c r="B42" s="111" t="s">
        <v>127</v>
      </c>
      <c r="C42" s="112" t="s">
        <v>128</v>
      </c>
      <c r="D42" s="108">
        <v>2</v>
      </c>
      <c r="E42" s="113"/>
      <c r="F42" s="113"/>
      <c r="G42" s="109" t="str">
        <f t="shared" si="1"/>
        <v/>
      </c>
      <c r="H42" s="87">
        <f t="shared" si="0"/>
        <v>1</v>
      </c>
    </row>
    <row r="43" ht="33.75" customHeight="1" spans="1:8">
      <c r="A43" s="110">
        <f t="shared" si="2"/>
        <v>37</v>
      </c>
      <c r="B43" s="111" t="s">
        <v>129</v>
      </c>
      <c r="C43" s="112" t="s">
        <v>130</v>
      </c>
      <c r="D43" s="108"/>
      <c r="E43" s="108"/>
      <c r="F43" s="108">
        <v>3</v>
      </c>
      <c r="G43" s="109" t="str">
        <f t="shared" si="1"/>
        <v/>
      </c>
      <c r="H43" s="87">
        <f t="shared" si="0"/>
        <v>1</v>
      </c>
    </row>
    <row r="44" ht="33.75" customHeight="1" spans="1:8">
      <c r="A44" s="110">
        <f t="shared" si="2"/>
        <v>38</v>
      </c>
      <c r="B44" s="111" t="s">
        <v>131</v>
      </c>
      <c r="C44" s="112" t="s">
        <v>132</v>
      </c>
      <c r="D44" s="108"/>
      <c r="E44" s="113"/>
      <c r="F44" s="113">
        <v>3</v>
      </c>
      <c r="G44" s="109" t="str">
        <f t="shared" si="1"/>
        <v/>
      </c>
      <c r="H44" s="87">
        <f t="shared" si="0"/>
        <v>1</v>
      </c>
    </row>
    <row r="45" ht="33.75" customHeight="1" spans="1:8">
      <c r="A45" s="110">
        <f t="shared" si="2"/>
        <v>39</v>
      </c>
      <c r="B45" s="111" t="s">
        <v>133</v>
      </c>
      <c r="C45" s="112" t="s">
        <v>134</v>
      </c>
      <c r="D45" s="108"/>
      <c r="E45" s="113"/>
      <c r="F45" s="113">
        <v>2</v>
      </c>
      <c r="G45" s="109" t="str">
        <f t="shared" si="1"/>
        <v/>
      </c>
      <c r="H45" s="87">
        <f t="shared" si="0"/>
        <v>1</v>
      </c>
    </row>
    <row r="46" ht="33.75" customHeight="1" spans="1:8">
      <c r="A46" s="110">
        <f t="shared" si="2"/>
        <v>40</v>
      </c>
      <c r="B46" s="111" t="s">
        <v>135</v>
      </c>
      <c r="C46" s="112" t="s">
        <v>136</v>
      </c>
      <c r="D46" s="108"/>
      <c r="E46" s="108"/>
      <c r="F46" s="108">
        <v>2</v>
      </c>
      <c r="G46" s="109" t="str">
        <f t="shared" si="1"/>
        <v/>
      </c>
      <c r="H46" s="87">
        <f t="shared" si="0"/>
        <v>1</v>
      </c>
    </row>
    <row r="47" ht="33.75" customHeight="1" spans="1:8">
      <c r="A47" s="110">
        <f t="shared" si="2"/>
        <v>41</v>
      </c>
      <c r="B47" s="111" t="s">
        <v>137</v>
      </c>
      <c r="C47" s="112" t="s">
        <v>138</v>
      </c>
      <c r="D47" s="108">
        <v>2</v>
      </c>
      <c r="E47" s="113"/>
      <c r="F47" s="113"/>
      <c r="G47" s="109" t="str">
        <f t="shared" si="1"/>
        <v/>
      </c>
      <c r="H47" s="87">
        <f t="shared" si="0"/>
        <v>1</v>
      </c>
    </row>
    <row r="48" ht="33.75" customHeight="1" spans="1:8">
      <c r="A48" s="110">
        <f t="shared" si="2"/>
        <v>42</v>
      </c>
      <c r="B48" s="111" t="s">
        <v>139</v>
      </c>
      <c r="C48" s="112" t="s">
        <v>140</v>
      </c>
      <c r="D48" s="108">
        <v>2</v>
      </c>
      <c r="E48" s="113"/>
      <c r="F48" s="113"/>
      <c r="G48" s="109" t="str">
        <f t="shared" si="1"/>
        <v/>
      </c>
      <c r="H48" s="87">
        <f t="shared" si="0"/>
        <v>1</v>
      </c>
    </row>
    <row r="49" ht="33.75" customHeight="1" spans="1:8">
      <c r="A49" s="110">
        <f t="shared" si="2"/>
        <v>43</v>
      </c>
      <c r="B49" s="111" t="s">
        <v>141</v>
      </c>
      <c r="C49" s="112" t="s">
        <v>142</v>
      </c>
      <c r="D49" s="108"/>
      <c r="E49" s="108"/>
      <c r="F49" s="108">
        <v>2</v>
      </c>
      <c r="G49" s="109" t="str">
        <f t="shared" si="1"/>
        <v/>
      </c>
      <c r="H49" s="87">
        <f t="shared" si="0"/>
        <v>1</v>
      </c>
    </row>
    <row r="50" ht="33.75" customHeight="1" spans="1:8">
      <c r="A50" s="110">
        <f t="shared" si="2"/>
        <v>44</v>
      </c>
      <c r="B50" s="111" t="s">
        <v>143</v>
      </c>
      <c r="C50" s="112" t="s">
        <v>144</v>
      </c>
      <c r="D50" s="108"/>
      <c r="E50" s="113"/>
      <c r="F50" s="113">
        <v>3</v>
      </c>
      <c r="G50" s="109" t="str">
        <f t="shared" si="1"/>
        <v/>
      </c>
      <c r="H50" s="87">
        <f t="shared" si="0"/>
        <v>1</v>
      </c>
    </row>
    <row r="51" ht="33.75" customHeight="1" spans="1:8">
      <c r="A51" s="110">
        <f t="shared" si="2"/>
        <v>45</v>
      </c>
      <c r="B51" s="111" t="s">
        <v>145</v>
      </c>
      <c r="C51" s="112" t="s">
        <v>146</v>
      </c>
      <c r="D51" s="108"/>
      <c r="E51" s="113"/>
      <c r="F51" s="113">
        <v>3</v>
      </c>
      <c r="G51" s="109" t="str">
        <f t="shared" si="1"/>
        <v/>
      </c>
      <c r="H51" s="87">
        <f t="shared" si="0"/>
        <v>1</v>
      </c>
    </row>
    <row r="52" ht="33.75" customHeight="1" spans="1:8">
      <c r="A52" s="110">
        <f t="shared" si="2"/>
        <v>46</v>
      </c>
      <c r="B52" s="111" t="s">
        <v>147</v>
      </c>
      <c r="C52" s="112" t="s">
        <v>148</v>
      </c>
      <c r="D52" s="108"/>
      <c r="E52" s="108">
        <v>1</v>
      </c>
      <c r="F52" s="108"/>
      <c r="G52" s="109" t="str">
        <f t="shared" si="1"/>
        <v/>
      </c>
      <c r="H52" s="87">
        <f t="shared" si="0"/>
        <v>1</v>
      </c>
    </row>
    <row r="53" ht="33.75" customHeight="1" spans="1:8">
      <c r="A53" s="110">
        <f t="shared" si="2"/>
        <v>47</v>
      </c>
      <c r="B53" s="111" t="s">
        <v>149</v>
      </c>
      <c r="C53" s="112" t="s">
        <v>150</v>
      </c>
      <c r="D53" s="108"/>
      <c r="E53" s="113"/>
      <c r="F53" s="113">
        <v>2</v>
      </c>
      <c r="G53" s="109" t="str">
        <f t="shared" si="1"/>
        <v/>
      </c>
      <c r="H53" s="87">
        <f t="shared" si="0"/>
        <v>1</v>
      </c>
    </row>
    <row r="54" ht="33.75" customHeight="1" spans="1:8">
      <c r="A54" s="110">
        <f t="shared" si="2"/>
        <v>48</v>
      </c>
      <c r="B54" s="111" t="s">
        <v>151</v>
      </c>
      <c r="C54" s="112" t="s">
        <v>152</v>
      </c>
      <c r="D54" s="108"/>
      <c r="E54" s="113"/>
      <c r="F54" s="113">
        <v>2</v>
      </c>
      <c r="G54" s="109" t="str">
        <f t="shared" si="1"/>
        <v/>
      </c>
      <c r="H54" s="87">
        <f t="shared" si="0"/>
        <v>1</v>
      </c>
    </row>
    <row r="55" ht="33.75" customHeight="1" spans="1:8">
      <c r="A55" s="110">
        <f t="shared" si="2"/>
        <v>49</v>
      </c>
      <c r="B55" s="111" t="s">
        <v>153</v>
      </c>
      <c r="C55" s="112" t="s">
        <v>154</v>
      </c>
      <c r="D55" s="108"/>
      <c r="E55" s="108"/>
      <c r="F55" s="108">
        <v>3</v>
      </c>
      <c r="G55" s="109" t="str">
        <f t="shared" si="1"/>
        <v/>
      </c>
      <c r="H55" s="87">
        <f t="shared" si="0"/>
        <v>1</v>
      </c>
    </row>
    <row r="56" ht="33.75" customHeight="1" spans="1:8">
      <c r="A56" s="110">
        <f t="shared" si="2"/>
        <v>50</v>
      </c>
      <c r="B56" s="111" t="s">
        <v>155</v>
      </c>
      <c r="C56" s="112" t="s">
        <v>156</v>
      </c>
      <c r="D56" s="108">
        <v>2</v>
      </c>
      <c r="E56" s="113"/>
      <c r="F56" s="113"/>
      <c r="G56" s="109" t="str">
        <f t="shared" si="1"/>
        <v/>
      </c>
      <c r="H56" s="87">
        <f t="shared" si="0"/>
        <v>1</v>
      </c>
    </row>
    <row r="57" ht="33.75" customHeight="1" spans="1:8">
      <c r="A57" s="110">
        <f t="shared" si="2"/>
        <v>51</v>
      </c>
      <c r="B57" s="111" t="s">
        <v>157</v>
      </c>
      <c r="C57" s="112" t="s">
        <v>158</v>
      </c>
      <c r="D57" s="108">
        <v>2</v>
      </c>
      <c r="E57" s="113"/>
      <c r="F57" s="113"/>
      <c r="G57" s="109" t="str">
        <f t="shared" si="1"/>
        <v/>
      </c>
      <c r="H57" s="87">
        <f t="shared" si="0"/>
        <v>1</v>
      </c>
    </row>
    <row r="58" ht="33.75" customHeight="1" spans="1:8">
      <c r="A58" s="110">
        <f t="shared" si="2"/>
        <v>52</v>
      </c>
      <c r="B58" s="111" t="s">
        <v>159</v>
      </c>
      <c r="C58" s="112" t="s">
        <v>160</v>
      </c>
      <c r="D58" s="108"/>
      <c r="E58" s="108"/>
      <c r="F58" s="108">
        <v>2</v>
      </c>
      <c r="G58" s="109" t="str">
        <f t="shared" si="1"/>
        <v/>
      </c>
      <c r="H58" s="87">
        <f t="shared" si="0"/>
        <v>1</v>
      </c>
    </row>
    <row r="59" ht="33.75" customHeight="1" spans="1:8">
      <c r="A59" s="110">
        <f t="shared" si="2"/>
        <v>53</v>
      </c>
      <c r="B59" s="111" t="s">
        <v>161</v>
      </c>
      <c r="C59" s="112" t="s">
        <v>162</v>
      </c>
      <c r="D59" s="108"/>
      <c r="E59" s="113"/>
      <c r="F59" s="113">
        <v>2</v>
      </c>
      <c r="G59" s="109" t="str">
        <f t="shared" si="1"/>
        <v/>
      </c>
      <c r="H59" s="87">
        <f t="shared" si="0"/>
        <v>1</v>
      </c>
    </row>
    <row r="60" ht="33.75" customHeight="1" spans="1:8">
      <c r="A60" s="110">
        <f t="shared" si="2"/>
        <v>54</v>
      </c>
      <c r="B60" s="111" t="s">
        <v>163</v>
      </c>
      <c r="C60" s="112" t="s">
        <v>164</v>
      </c>
      <c r="D60" s="108"/>
      <c r="E60" s="113"/>
      <c r="F60" s="113">
        <v>3</v>
      </c>
      <c r="G60" s="109" t="str">
        <f t="shared" si="1"/>
        <v/>
      </c>
      <c r="H60" s="87">
        <f t="shared" si="0"/>
        <v>1</v>
      </c>
    </row>
    <row r="61" ht="33.75" customHeight="1" spans="1:8">
      <c r="A61" s="110">
        <f t="shared" si="2"/>
        <v>55</v>
      </c>
      <c r="B61" s="111" t="s">
        <v>165</v>
      </c>
      <c r="C61" s="112" t="s">
        <v>166</v>
      </c>
      <c r="D61" s="108">
        <v>3</v>
      </c>
      <c r="E61" s="108"/>
      <c r="F61" s="108"/>
      <c r="G61" s="109" t="str">
        <f t="shared" si="1"/>
        <v/>
      </c>
      <c r="H61" s="87">
        <f t="shared" si="0"/>
        <v>1</v>
      </c>
    </row>
    <row r="62" ht="33.75" customHeight="1" spans="1:8">
      <c r="A62" s="110">
        <f t="shared" si="2"/>
        <v>56</v>
      </c>
      <c r="B62" s="111" t="s">
        <v>167</v>
      </c>
      <c r="C62" s="112" t="s">
        <v>168</v>
      </c>
      <c r="D62" s="108">
        <v>3</v>
      </c>
      <c r="E62" s="113"/>
      <c r="F62" s="113"/>
      <c r="G62" s="109" t="str">
        <f t="shared" si="1"/>
        <v/>
      </c>
      <c r="H62" s="87">
        <f t="shared" si="0"/>
        <v>1</v>
      </c>
    </row>
    <row r="63" ht="33.75" customHeight="1" spans="1:8">
      <c r="A63" s="110">
        <f t="shared" si="2"/>
        <v>57</v>
      </c>
      <c r="B63" s="111" t="s">
        <v>169</v>
      </c>
      <c r="C63" s="112" t="s">
        <v>170</v>
      </c>
      <c r="D63" s="108">
        <v>2</v>
      </c>
      <c r="E63" s="113"/>
      <c r="F63" s="113"/>
      <c r="G63" s="109" t="str">
        <f t="shared" si="1"/>
        <v/>
      </c>
      <c r="H63" s="87">
        <f t="shared" si="0"/>
        <v>1</v>
      </c>
    </row>
    <row r="64" ht="33.75" customHeight="1" spans="1:8">
      <c r="A64" s="110">
        <f t="shared" si="2"/>
        <v>58</v>
      </c>
      <c r="B64" s="111" t="s">
        <v>171</v>
      </c>
      <c r="C64" s="112" t="s">
        <v>172</v>
      </c>
      <c r="D64" s="108">
        <v>3</v>
      </c>
      <c r="E64" s="108"/>
      <c r="F64" s="108"/>
      <c r="G64" s="109" t="str">
        <f t="shared" si="1"/>
        <v/>
      </c>
      <c r="H64" s="87">
        <f t="shared" si="0"/>
        <v>1</v>
      </c>
    </row>
    <row r="65" ht="33.75" customHeight="1" spans="1:8">
      <c r="A65" s="110">
        <f t="shared" si="2"/>
        <v>59</v>
      </c>
      <c r="B65" s="111" t="s">
        <v>173</v>
      </c>
      <c r="C65" s="112" t="s">
        <v>174</v>
      </c>
      <c r="D65" s="108"/>
      <c r="E65" s="113"/>
      <c r="F65" s="113">
        <v>3</v>
      </c>
      <c r="G65" s="109" t="str">
        <f t="shared" si="1"/>
        <v/>
      </c>
      <c r="H65" s="87">
        <f t="shared" si="0"/>
        <v>1</v>
      </c>
    </row>
    <row r="66" ht="33.75" customHeight="1" spans="1:8">
      <c r="A66" s="110">
        <f t="shared" si="2"/>
        <v>60</v>
      </c>
      <c r="B66" s="111" t="s">
        <v>175</v>
      </c>
      <c r="C66" s="112" t="s">
        <v>176</v>
      </c>
      <c r="D66" s="108">
        <v>3</v>
      </c>
      <c r="E66" s="113"/>
      <c r="F66" s="113"/>
      <c r="G66" s="109" t="str">
        <f t="shared" si="1"/>
        <v/>
      </c>
      <c r="H66" s="87">
        <f t="shared" si="0"/>
        <v>1</v>
      </c>
    </row>
    <row r="67" ht="33.75" customHeight="1" spans="1:8">
      <c r="A67" s="110">
        <f t="shared" si="2"/>
        <v>61</v>
      </c>
      <c r="B67" s="111" t="s">
        <v>177</v>
      </c>
      <c r="C67" s="112" t="s">
        <v>178</v>
      </c>
      <c r="D67" s="108"/>
      <c r="E67" s="108"/>
      <c r="F67" s="108">
        <v>3</v>
      </c>
      <c r="G67" s="109" t="str">
        <f t="shared" si="1"/>
        <v/>
      </c>
      <c r="H67" s="87">
        <f t="shared" si="0"/>
        <v>1</v>
      </c>
    </row>
    <row r="68" ht="33.75" customHeight="1" spans="1:8">
      <c r="A68" s="110">
        <f t="shared" si="2"/>
        <v>62</v>
      </c>
      <c r="B68" s="111" t="s">
        <v>179</v>
      </c>
      <c r="C68" s="112" t="s">
        <v>180</v>
      </c>
      <c r="D68" s="108"/>
      <c r="E68" s="113"/>
      <c r="F68" s="113">
        <v>3</v>
      </c>
      <c r="G68" s="109" t="str">
        <f t="shared" si="1"/>
        <v/>
      </c>
      <c r="H68" s="87">
        <f t="shared" si="0"/>
        <v>1</v>
      </c>
    </row>
    <row r="69" ht="33.75" customHeight="1" spans="1:8">
      <c r="A69" s="110">
        <f t="shared" si="2"/>
        <v>63</v>
      </c>
      <c r="B69" s="111" t="s">
        <v>181</v>
      </c>
      <c r="C69" s="112" t="s">
        <v>182</v>
      </c>
      <c r="D69" s="108">
        <v>2</v>
      </c>
      <c r="E69" s="113"/>
      <c r="F69" s="113"/>
      <c r="G69" s="109" t="str">
        <f t="shared" si="1"/>
        <v/>
      </c>
      <c r="H69" s="87">
        <f t="shared" si="0"/>
        <v>1</v>
      </c>
    </row>
    <row r="70" ht="33.75" customHeight="1" spans="1:8">
      <c r="A70" s="110">
        <f t="shared" si="2"/>
        <v>64</v>
      </c>
      <c r="B70" s="111" t="s">
        <v>183</v>
      </c>
      <c r="C70" s="112" t="s">
        <v>184</v>
      </c>
      <c r="D70" s="108">
        <v>2</v>
      </c>
      <c r="E70" s="108"/>
      <c r="F70" s="108"/>
      <c r="G70" s="109" t="str">
        <f t="shared" si="1"/>
        <v/>
      </c>
      <c r="H70" s="87">
        <f t="shared" si="0"/>
        <v>1</v>
      </c>
    </row>
    <row r="71" ht="33.75" customHeight="1" spans="1:8">
      <c r="A71" s="110">
        <f t="shared" si="2"/>
        <v>65</v>
      </c>
      <c r="B71" s="111" t="s">
        <v>185</v>
      </c>
      <c r="C71" s="112" t="s">
        <v>186</v>
      </c>
      <c r="D71" s="108"/>
      <c r="E71" s="113"/>
      <c r="F71" s="113">
        <v>3</v>
      </c>
      <c r="G71" s="109" t="str">
        <f t="shared" si="1"/>
        <v/>
      </c>
      <c r="H71" s="87">
        <f t="shared" ref="H71:H114" si="3">IF(AND(D71="",E71="",F71=""),"",1)</f>
        <v>1</v>
      </c>
    </row>
    <row r="72" ht="33.75" customHeight="1" spans="1:8">
      <c r="A72" s="110">
        <f t="shared" si="2"/>
        <v>66</v>
      </c>
      <c r="B72" s="111" t="s">
        <v>187</v>
      </c>
      <c r="C72" s="112" t="s">
        <v>188</v>
      </c>
      <c r="D72" s="108"/>
      <c r="E72" s="113">
        <v>1</v>
      </c>
      <c r="F72" s="113"/>
      <c r="G72" s="109" t="str">
        <f t="shared" ref="G72:G135" si="4">IF(OR(AND(D72&gt;0,E72&gt;0),AND(D72&gt;0,F72&gt;0),AND(E72&gt;0,F72&gt;0)),"重复！","")</f>
        <v/>
      </c>
      <c r="H72" s="87">
        <f t="shared" si="3"/>
        <v>1</v>
      </c>
    </row>
    <row r="73" ht="33.75" customHeight="1" spans="1:8">
      <c r="A73" s="110">
        <f t="shared" ref="A73:A136" si="5">A72+1</f>
        <v>67</v>
      </c>
      <c r="B73" s="111" t="s">
        <v>189</v>
      </c>
      <c r="C73" s="112" t="s">
        <v>190</v>
      </c>
      <c r="D73" s="108"/>
      <c r="E73" s="108"/>
      <c r="F73" s="108">
        <v>3</v>
      </c>
      <c r="G73" s="109" t="str">
        <f t="shared" si="4"/>
        <v/>
      </c>
      <c r="H73" s="87">
        <f t="shared" si="3"/>
        <v>1</v>
      </c>
    </row>
    <row r="74" ht="33.75" customHeight="1" spans="1:8">
      <c r="A74" s="110">
        <f t="shared" si="5"/>
        <v>68</v>
      </c>
      <c r="B74" s="111" t="s">
        <v>191</v>
      </c>
      <c r="C74" s="112" t="s">
        <v>192</v>
      </c>
      <c r="D74" s="108"/>
      <c r="E74" s="113"/>
      <c r="F74" s="113">
        <v>2</v>
      </c>
      <c r="G74" s="109" t="str">
        <f t="shared" si="4"/>
        <v/>
      </c>
      <c r="H74" s="87">
        <f t="shared" si="3"/>
        <v>1</v>
      </c>
    </row>
    <row r="75" ht="33.75" customHeight="1" spans="1:8">
      <c r="A75" s="110">
        <f t="shared" si="5"/>
        <v>69</v>
      </c>
      <c r="B75" s="111" t="s">
        <v>193</v>
      </c>
      <c r="C75" s="112" t="s">
        <v>194</v>
      </c>
      <c r="D75" s="108"/>
      <c r="E75" s="113">
        <v>1</v>
      </c>
      <c r="F75" s="113"/>
      <c r="G75" s="109" t="str">
        <f t="shared" si="4"/>
        <v/>
      </c>
      <c r="H75" s="87">
        <f t="shared" si="3"/>
        <v>1</v>
      </c>
    </row>
    <row r="76" ht="33.75" customHeight="1" spans="1:8">
      <c r="A76" s="110">
        <f t="shared" si="5"/>
        <v>70</v>
      </c>
      <c r="B76" s="111" t="s">
        <v>195</v>
      </c>
      <c r="C76" s="112" t="s">
        <v>196</v>
      </c>
      <c r="D76" s="108"/>
      <c r="E76" s="108"/>
      <c r="F76" s="108">
        <v>3</v>
      </c>
      <c r="G76" s="109" t="str">
        <f t="shared" si="4"/>
        <v/>
      </c>
      <c r="H76" s="87">
        <f t="shared" si="3"/>
        <v>1</v>
      </c>
    </row>
    <row r="77" ht="33.75" customHeight="1" spans="1:8">
      <c r="A77" s="110">
        <f t="shared" si="5"/>
        <v>71</v>
      </c>
      <c r="B77" s="111" t="s">
        <v>197</v>
      </c>
      <c r="C77" s="112" t="s">
        <v>198</v>
      </c>
      <c r="D77" s="108"/>
      <c r="E77" s="113"/>
      <c r="F77" s="113">
        <v>3</v>
      </c>
      <c r="G77" s="109" t="str">
        <f t="shared" si="4"/>
        <v/>
      </c>
      <c r="H77" s="87">
        <f t="shared" si="3"/>
        <v>1</v>
      </c>
    </row>
    <row r="78" ht="33.75" customHeight="1" spans="1:8">
      <c r="A78" s="110">
        <f t="shared" si="5"/>
        <v>72</v>
      </c>
      <c r="B78" s="111" t="s">
        <v>199</v>
      </c>
      <c r="C78" s="112" t="s">
        <v>200</v>
      </c>
      <c r="D78" s="108"/>
      <c r="E78" s="113"/>
      <c r="F78" s="113">
        <v>2</v>
      </c>
      <c r="G78" s="109" t="str">
        <f t="shared" si="4"/>
        <v/>
      </c>
      <c r="H78" s="87">
        <f t="shared" si="3"/>
        <v>1</v>
      </c>
    </row>
    <row r="79" ht="33.75" customHeight="1" spans="1:8">
      <c r="A79" s="110">
        <f t="shared" si="5"/>
        <v>73</v>
      </c>
      <c r="B79" s="111" t="s">
        <v>201</v>
      </c>
      <c r="C79" s="112" t="s">
        <v>202</v>
      </c>
      <c r="D79" s="108"/>
      <c r="E79" s="108">
        <v>1</v>
      </c>
      <c r="F79" s="108"/>
      <c r="G79" s="109" t="str">
        <f t="shared" si="4"/>
        <v/>
      </c>
      <c r="H79" s="87">
        <f t="shared" si="3"/>
        <v>1</v>
      </c>
    </row>
    <row r="80" ht="33.75" customHeight="1" spans="1:8">
      <c r="A80" s="110">
        <f t="shared" si="5"/>
        <v>74</v>
      </c>
      <c r="B80" s="111" t="s">
        <v>203</v>
      </c>
      <c r="C80" s="112" t="s">
        <v>204</v>
      </c>
      <c r="D80" s="108"/>
      <c r="E80" s="113"/>
      <c r="F80" s="113">
        <v>3</v>
      </c>
      <c r="G80" s="109" t="str">
        <f t="shared" si="4"/>
        <v/>
      </c>
      <c r="H80" s="87">
        <f t="shared" si="3"/>
        <v>1</v>
      </c>
    </row>
    <row r="81" ht="33.75" customHeight="1" spans="1:8">
      <c r="A81" s="110">
        <f t="shared" si="5"/>
        <v>75</v>
      </c>
      <c r="B81" s="111" t="s">
        <v>205</v>
      </c>
      <c r="C81" s="112" t="s">
        <v>206</v>
      </c>
      <c r="D81" s="108"/>
      <c r="E81" s="113"/>
      <c r="F81" s="113">
        <v>2</v>
      </c>
      <c r="G81" s="109" t="str">
        <f t="shared" si="4"/>
        <v/>
      </c>
      <c r="H81" s="87">
        <f t="shared" si="3"/>
        <v>1</v>
      </c>
    </row>
    <row r="82" ht="33.75" customHeight="1" spans="1:8">
      <c r="A82" s="110">
        <f t="shared" si="5"/>
        <v>76</v>
      </c>
      <c r="B82" s="111" t="s">
        <v>207</v>
      </c>
      <c r="C82" s="112" t="s">
        <v>208</v>
      </c>
      <c r="D82" s="108"/>
      <c r="E82" s="108"/>
      <c r="F82" s="108">
        <v>3</v>
      </c>
      <c r="G82" s="109" t="str">
        <f t="shared" si="4"/>
        <v/>
      </c>
      <c r="H82" s="87">
        <f t="shared" si="3"/>
        <v>1</v>
      </c>
    </row>
    <row r="83" ht="33.75" customHeight="1" spans="1:8">
      <c r="A83" s="110">
        <f t="shared" si="5"/>
        <v>77</v>
      </c>
      <c r="B83" s="111" t="s">
        <v>209</v>
      </c>
      <c r="C83" s="112" t="s">
        <v>210</v>
      </c>
      <c r="D83" s="108"/>
      <c r="E83" s="113">
        <v>1</v>
      </c>
      <c r="F83" s="113"/>
      <c r="G83" s="109" t="str">
        <f t="shared" si="4"/>
        <v/>
      </c>
      <c r="H83" s="87">
        <f t="shared" si="3"/>
        <v>1</v>
      </c>
    </row>
    <row r="84" ht="33.75" customHeight="1" spans="1:8">
      <c r="A84" s="110">
        <f t="shared" si="5"/>
        <v>78</v>
      </c>
      <c r="B84" s="111" t="s">
        <v>211</v>
      </c>
      <c r="C84" s="112" t="s">
        <v>212</v>
      </c>
      <c r="D84" s="108"/>
      <c r="E84" s="113"/>
      <c r="F84" s="113">
        <v>2</v>
      </c>
      <c r="G84" s="109" t="str">
        <f t="shared" si="4"/>
        <v/>
      </c>
      <c r="H84" s="87">
        <f t="shared" si="3"/>
        <v>1</v>
      </c>
    </row>
    <row r="85" ht="33.75" customHeight="1" spans="1:8">
      <c r="A85" s="110">
        <f t="shared" si="5"/>
        <v>79</v>
      </c>
      <c r="B85" s="111" t="s">
        <v>213</v>
      </c>
      <c r="C85" s="112" t="s">
        <v>214</v>
      </c>
      <c r="D85" s="108"/>
      <c r="E85" s="108">
        <v>1</v>
      </c>
      <c r="F85" s="108"/>
      <c r="G85" s="109" t="str">
        <f t="shared" si="4"/>
        <v/>
      </c>
      <c r="H85" s="87">
        <f t="shared" si="3"/>
        <v>1</v>
      </c>
    </row>
    <row r="86" ht="33.75" customHeight="1" spans="1:8">
      <c r="A86" s="110">
        <f t="shared" si="5"/>
        <v>80</v>
      </c>
      <c r="B86" s="111" t="s">
        <v>215</v>
      </c>
      <c r="C86" s="112" t="s">
        <v>216</v>
      </c>
      <c r="D86" s="108">
        <v>2</v>
      </c>
      <c r="E86" s="113"/>
      <c r="F86" s="113"/>
      <c r="G86" s="109" t="str">
        <f t="shared" si="4"/>
        <v/>
      </c>
      <c r="H86" s="87">
        <f t="shared" si="3"/>
        <v>1</v>
      </c>
    </row>
    <row r="87" ht="33.75" customHeight="1" spans="1:8">
      <c r="A87" s="110">
        <f t="shared" si="5"/>
        <v>81</v>
      </c>
      <c r="B87" s="111" t="s">
        <v>217</v>
      </c>
      <c r="C87" s="112" t="s">
        <v>218</v>
      </c>
      <c r="D87" s="108">
        <v>2</v>
      </c>
      <c r="E87" s="113"/>
      <c r="F87" s="113"/>
      <c r="G87" s="109" t="str">
        <f t="shared" si="4"/>
        <v/>
      </c>
      <c r="H87" s="87">
        <f t="shared" si="3"/>
        <v>1</v>
      </c>
    </row>
    <row r="88" ht="33.75" customHeight="1" spans="1:8">
      <c r="A88" s="110">
        <f t="shared" si="5"/>
        <v>82</v>
      </c>
      <c r="B88" s="111" t="s">
        <v>219</v>
      </c>
      <c r="C88" s="112" t="s">
        <v>220</v>
      </c>
      <c r="D88" s="108"/>
      <c r="E88" s="108"/>
      <c r="F88" s="108">
        <v>2</v>
      </c>
      <c r="G88" s="109" t="str">
        <f t="shared" si="4"/>
        <v/>
      </c>
      <c r="H88" s="87">
        <f t="shared" si="3"/>
        <v>1</v>
      </c>
    </row>
    <row r="89" ht="33.75" customHeight="1" spans="1:8">
      <c r="A89" s="110">
        <f t="shared" si="5"/>
        <v>83</v>
      </c>
      <c r="B89" s="111" t="s">
        <v>221</v>
      </c>
      <c r="C89" s="112" t="s">
        <v>222</v>
      </c>
      <c r="D89" s="108"/>
      <c r="E89" s="113"/>
      <c r="F89" s="113">
        <v>3</v>
      </c>
      <c r="G89" s="109" t="str">
        <f t="shared" si="4"/>
        <v/>
      </c>
      <c r="H89" s="87">
        <f t="shared" si="3"/>
        <v>1</v>
      </c>
    </row>
    <row r="90" ht="33.75" customHeight="1" spans="1:8">
      <c r="A90" s="110">
        <f t="shared" si="5"/>
        <v>84</v>
      </c>
      <c r="B90" s="111" t="s">
        <v>223</v>
      </c>
      <c r="C90" s="112" t="s">
        <v>224</v>
      </c>
      <c r="D90" s="108"/>
      <c r="E90" s="113">
        <v>1</v>
      </c>
      <c r="F90" s="113"/>
      <c r="G90" s="109" t="str">
        <f t="shared" si="4"/>
        <v/>
      </c>
      <c r="H90" s="87">
        <f t="shared" si="3"/>
        <v>1</v>
      </c>
    </row>
    <row r="91" ht="33.75" customHeight="1" spans="1:8">
      <c r="A91" s="110">
        <f t="shared" si="5"/>
        <v>85</v>
      </c>
      <c r="B91" s="111" t="s">
        <v>225</v>
      </c>
      <c r="C91" s="112" t="s">
        <v>226</v>
      </c>
      <c r="D91" s="108"/>
      <c r="E91" s="108"/>
      <c r="F91" s="108">
        <v>2</v>
      </c>
      <c r="G91" s="109" t="str">
        <f t="shared" si="4"/>
        <v/>
      </c>
      <c r="H91" s="87">
        <f t="shared" si="3"/>
        <v>1</v>
      </c>
    </row>
    <row r="92" ht="33.75" customHeight="1" spans="1:8">
      <c r="A92" s="110">
        <f t="shared" si="5"/>
        <v>86</v>
      </c>
      <c r="B92" s="111" t="s">
        <v>227</v>
      </c>
      <c r="C92" s="112" t="s">
        <v>228</v>
      </c>
      <c r="D92" s="108"/>
      <c r="E92" s="113"/>
      <c r="F92" s="113">
        <v>3</v>
      </c>
      <c r="G92" s="109" t="str">
        <f t="shared" si="4"/>
        <v/>
      </c>
      <c r="H92" s="87">
        <f t="shared" si="3"/>
        <v>1</v>
      </c>
    </row>
    <row r="93" ht="33.75" customHeight="1" spans="1:8">
      <c r="A93" s="110">
        <f t="shared" si="5"/>
        <v>87</v>
      </c>
      <c r="B93" s="111" t="s">
        <v>229</v>
      </c>
      <c r="C93" s="112" t="s">
        <v>230</v>
      </c>
      <c r="D93" s="108">
        <v>2</v>
      </c>
      <c r="E93" s="113"/>
      <c r="F93" s="113"/>
      <c r="G93" s="109" t="str">
        <f t="shared" si="4"/>
        <v/>
      </c>
      <c r="H93" s="87">
        <f t="shared" si="3"/>
        <v>1</v>
      </c>
    </row>
    <row r="94" ht="33.75" customHeight="1" spans="1:8">
      <c r="A94" s="110">
        <f t="shared" si="5"/>
        <v>88</v>
      </c>
      <c r="B94" s="111" t="s">
        <v>231</v>
      </c>
      <c r="C94" s="112" t="s">
        <v>232</v>
      </c>
      <c r="D94" s="108"/>
      <c r="E94" s="108">
        <v>1</v>
      </c>
      <c r="F94" s="108"/>
      <c r="G94" s="109" t="str">
        <f t="shared" si="4"/>
        <v/>
      </c>
      <c r="H94" s="87">
        <f t="shared" si="3"/>
        <v>1</v>
      </c>
    </row>
    <row r="95" ht="33.75" customHeight="1" spans="1:8">
      <c r="A95" s="110">
        <f t="shared" si="5"/>
        <v>89</v>
      </c>
      <c r="B95" s="111" t="s">
        <v>233</v>
      </c>
      <c r="C95" s="112" t="s">
        <v>234</v>
      </c>
      <c r="D95" s="108">
        <v>3</v>
      </c>
      <c r="E95" s="113"/>
      <c r="F95" s="113"/>
      <c r="G95" s="109" t="str">
        <f t="shared" si="4"/>
        <v/>
      </c>
      <c r="H95" s="87">
        <f t="shared" si="3"/>
        <v>1</v>
      </c>
    </row>
    <row r="96" ht="33.75" customHeight="1" spans="1:8">
      <c r="A96" s="110">
        <f t="shared" si="5"/>
        <v>90</v>
      </c>
      <c r="B96" s="111" t="s">
        <v>235</v>
      </c>
      <c r="C96" s="112" t="s">
        <v>236</v>
      </c>
      <c r="D96" s="108">
        <v>3</v>
      </c>
      <c r="E96" s="113"/>
      <c r="F96" s="113"/>
      <c r="G96" s="109" t="str">
        <f t="shared" si="4"/>
        <v/>
      </c>
      <c r="H96" s="87">
        <f t="shared" si="3"/>
        <v>1</v>
      </c>
    </row>
    <row r="97" ht="33.75" customHeight="1" spans="1:8">
      <c r="A97" s="110">
        <f t="shared" si="5"/>
        <v>91</v>
      </c>
      <c r="B97" s="111" t="s">
        <v>237</v>
      </c>
      <c r="C97" s="112" t="s">
        <v>238</v>
      </c>
      <c r="D97" s="108"/>
      <c r="E97" s="108"/>
      <c r="F97" s="108">
        <v>2</v>
      </c>
      <c r="G97" s="109" t="str">
        <f t="shared" si="4"/>
        <v/>
      </c>
      <c r="H97" s="87">
        <f t="shared" si="3"/>
        <v>1</v>
      </c>
    </row>
    <row r="98" ht="33.75" customHeight="1" spans="1:8">
      <c r="A98" s="110">
        <f t="shared" si="5"/>
        <v>92</v>
      </c>
      <c r="B98" s="111" t="s">
        <v>239</v>
      </c>
      <c r="C98" s="112" t="s">
        <v>240</v>
      </c>
      <c r="D98" s="108">
        <v>2</v>
      </c>
      <c r="E98" s="113"/>
      <c r="F98" s="113"/>
      <c r="G98" s="109" t="str">
        <f t="shared" si="4"/>
        <v/>
      </c>
      <c r="H98" s="87">
        <f t="shared" si="3"/>
        <v>1</v>
      </c>
    </row>
    <row r="99" ht="33.75" customHeight="1" spans="1:8">
      <c r="A99" s="110">
        <f t="shared" si="5"/>
        <v>93</v>
      </c>
      <c r="B99" s="111" t="s">
        <v>241</v>
      </c>
      <c r="C99" s="112" t="s">
        <v>242</v>
      </c>
      <c r="D99" s="108"/>
      <c r="E99" s="113"/>
      <c r="F99" s="113">
        <v>3</v>
      </c>
      <c r="G99" s="109" t="str">
        <f t="shared" si="4"/>
        <v/>
      </c>
      <c r="H99" s="87">
        <f t="shared" si="3"/>
        <v>1</v>
      </c>
    </row>
    <row r="100" ht="33.75" customHeight="1" spans="1:8">
      <c r="A100" s="110">
        <f t="shared" si="5"/>
        <v>94</v>
      </c>
      <c r="B100" s="111" t="s">
        <v>243</v>
      </c>
      <c r="C100" s="112" t="s">
        <v>244</v>
      </c>
      <c r="D100" s="108"/>
      <c r="E100" s="108"/>
      <c r="F100" s="108">
        <v>2</v>
      </c>
      <c r="G100" s="109" t="str">
        <f t="shared" si="4"/>
        <v/>
      </c>
      <c r="H100" s="87">
        <f t="shared" si="3"/>
        <v>1</v>
      </c>
    </row>
    <row r="101" ht="33.75" customHeight="1" spans="1:8">
      <c r="A101" s="110">
        <f t="shared" si="5"/>
        <v>95</v>
      </c>
      <c r="B101" s="111" t="s">
        <v>245</v>
      </c>
      <c r="C101" s="112" t="s">
        <v>246</v>
      </c>
      <c r="D101" s="108"/>
      <c r="E101" s="113"/>
      <c r="F101" s="113">
        <v>3</v>
      </c>
      <c r="G101" s="109" t="str">
        <f t="shared" si="4"/>
        <v/>
      </c>
      <c r="H101" s="87">
        <f t="shared" si="3"/>
        <v>1</v>
      </c>
    </row>
    <row r="102" ht="33.75" customHeight="1" spans="1:8">
      <c r="A102" s="110">
        <f t="shared" si="5"/>
        <v>96</v>
      </c>
      <c r="B102" s="111" t="s">
        <v>247</v>
      </c>
      <c r="C102" s="112" t="s">
        <v>248</v>
      </c>
      <c r="D102" s="108">
        <v>2</v>
      </c>
      <c r="E102" s="113"/>
      <c r="F102" s="113"/>
      <c r="G102" s="109" t="str">
        <f t="shared" si="4"/>
        <v/>
      </c>
      <c r="H102" s="87">
        <f t="shared" si="3"/>
        <v>1</v>
      </c>
    </row>
    <row r="103" ht="33.75" customHeight="1" spans="1:8">
      <c r="A103" s="110">
        <f t="shared" si="5"/>
        <v>97</v>
      </c>
      <c r="B103" s="111" t="s">
        <v>249</v>
      </c>
      <c r="C103" s="112" t="s">
        <v>250</v>
      </c>
      <c r="D103" s="108">
        <v>2</v>
      </c>
      <c r="E103" s="108"/>
      <c r="F103" s="108"/>
      <c r="G103" s="109" t="str">
        <f t="shared" si="4"/>
        <v/>
      </c>
      <c r="H103" s="87">
        <f t="shared" si="3"/>
        <v>1</v>
      </c>
    </row>
    <row r="104" ht="33.75" customHeight="1" spans="1:8">
      <c r="A104" s="110">
        <f t="shared" si="5"/>
        <v>98</v>
      </c>
      <c r="B104" s="111" t="s">
        <v>251</v>
      </c>
      <c r="C104" s="112" t="s">
        <v>252</v>
      </c>
      <c r="D104" s="108"/>
      <c r="E104" s="113"/>
      <c r="F104" s="113">
        <v>3</v>
      </c>
      <c r="G104" s="109" t="str">
        <f t="shared" si="4"/>
        <v/>
      </c>
      <c r="H104" s="87">
        <f t="shared" si="3"/>
        <v>1</v>
      </c>
    </row>
    <row r="105" ht="33.75" customHeight="1" spans="1:8">
      <c r="A105" s="110">
        <f t="shared" si="5"/>
        <v>99</v>
      </c>
      <c r="B105" s="111" t="s">
        <v>253</v>
      </c>
      <c r="C105" s="112" t="s">
        <v>254</v>
      </c>
      <c r="D105" s="108">
        <v>2</v>
      </c>
      <c r="E105" s="113"/>
      <c r="F105" s="113"/>
      <c r="G105" s="109" t="str">
        <f t="shared" si="4"/>
        <v/>
      </c>
      <c r="H105" s="87">
        <f t="shared" si="3"/>
        <v>1</v>
      </c>
    </row>
    <row r="106" ht="33.75" customHeight="1" spans="1:8">
      <c r="A106" s="110">
        <f t="shared" si="5"/>
        <v>100</v>
      </c>
      <c r="B106" s="111" t="s">
        <v>255</v>
      </c>
      <c r="C106" s="112" t="s">
        <v>256</v>
      </c>
      <c r="D106" s="108">
        <v>3</v>
      </c>
      <c r="E106" s="108"/>
      <c r="F106" s="108"/>
      <c r="G106" s="109" t="str">
        <f t="shared" si="4"/>
        <v/>
      </c>
      <c r="H106" s="87">
        <f t="shared" si="3"/>
        <v>1</v>
      </c>
    </row>
    <row r="107" ht="33.75" customHeight="1" spans="1:8">
      <c r="A107" s="110">
        <f t="shared" si="5"/>
        <v>101</v>
      </c>
      <c r="B107" s="111" t="s">
        <v>257</v>
      </c>
      <c r="C107" s="112" t="s">
        <v>258</v>
      </c>
      <c r="D107" s="108"/>
      <c r="E107" s="113"/>
      <c r="F107" s="113">
        <v>2</v>
      </c>
      <c r="G107" s="109" t="str">
        <f t="shared" si="4"/>
        <v/>
      </c>
      <c r="H107" s="87">
        <f t="shared" si="3"/>
        <v>1</v>
      </c>
    </row>
    <row r="108" ht="33.75" customHeight="1" spans="1:8">
      <c r="A108" s="110">
        <f t="shared" si="5"/>
        <v>102</v>
      </c>
      <c r="B108" s="111" t="s">
        <v>259</v>
      </c>
      <c r="C108" s="112" t="s">
        <v>260</v>
      </c>
      <c r="D108" s="108"/>
      <c r="E108" s="113"/>
      <c r="F108" s="113">
        <v>3</v>
      </c>
      <c r="G108" s="109" t="str">
        <f t="shared" si="4"/>
        <v/>
      </c>
      <c r="H108" s="87">
        <f t="shared" si="3"/>
        <v>1</v>
      </c>
    </row>
    <row r="109" ht="33.75" customHeight="1" spans="1:8">
      <c r="A109" s="110">
        <f t="shared" si="5"/>
        <v>103</v>
      </c>
      <c r="B109" s="111" t="s">
        <v>261</v>
      </c>
      <c r="C109" s="112" t="s">
        <v>262</v>
      </c>
      <c r="D109" s="108"/>
      <c r="E109" s="108"/>
      <c r="F109" s="108">
        <v>2</v>
      </c>
      <c r="G109" s="109" t="str">
        <f t="shared" si="4"/>
        <v/>
      </c>
      <c r="H109" s="87">
        <f t="shared" si="3"/>
        <v>1</v>
      </c>
    </row>
    <row r="110" ht="33.75" customHeight="1" spans="1:8">
      <c r="A110" s="110">
        <f t="shared" si="5"/>
        <v>104</v>
      </c>
      <c r="B110" s="111" t="s">
        <v>263</v>
      </c>
      <c r="C110" s="112" t="s">
        <v>264</v>
      </c>
      <c r="D110" s="108"/>
      <c r="E110" s="113">
        <v>1</v>
      </c>
      <c r="F110" s="113"/>
      <c r="G110" s="109" t="str">
        <f t="shared" si="4"/>
        <v/>
      </c>
      <c r="H110" s="87">
        <f t="shared" si="3"/>
        <v>1</v>
      </c>
    </row>
    <row r="111" ht="33.75" customHeight="1" spans="1:8">
      <c r="A111" s="110">
        <f t="shared" si="5"/>
        <v>105</v>
      </c>
      <c r="B111" s="111" t="s">
        <v>265</v>
      </c>
      <c r="C111" s="112" t="s">
        <v>266</v>
      </c>
      <c r="D111" s="108"/>
      <c r="E111" s="113"/>
      <c r="F111" s="113">
        <v>2</v>
      </c>
      <c r="G111" s="109" t="str">
        <f t="shared" si="4"/>
        <v/>
      </c>
      <c r="H111" s="87">
        <f t="shared" si="3"/>
        <v>1</v>
      </c>
    </row>
    <row r="112" ht="33.75" customHeight="1" spans="1:8">
      <c r="A112" s="110">
        <f t="shared" si="5"/>
        <v>106</v>
      </c>
      <c r="B112" s="111" t="s">
        <v>267</v>
      </c>
      <c r="C112" s="112" t="s">
        <v>268</v>
      </c>
      <c r="D112" s="108">
        <v>3</v>
      </c>
      <c r="E112" s="108"/>
      <c r="F112" s="108"/>
      <c r="G112" s="109" t="str">
        <f t="shared" si="4"/>
        <v/>
      </c>
      <c r="H112" s="87">
        <f t="shared" si="3"/>
        <v>1</v>
      </c>
    </row>
    <row r="113" ht="33.75" customHeight="1" spans="1:8">
      <c r="A113" s="110">
        <f t="shared" si="5"/>
        <v>107</v>
      </c>
      <c r="B113" s="111" t="s">
        <v>269</v>
      </c>
      <c r="C113" s="112" t="s">
        <v>270</v>
      </c>
      <c r="D113" s="108"/>
      <c r="E113" s="113">
        <v>1</v>
      </c>
      <c r="F113" s="113"/>
      <c r="G113" s="109" t="str">
        <f t="shared" si="4"/>
        <v/>
      </c>
      <c r="H113" s="87">
        <f t="shared" si="3"/>
        <v>1</v>
      </c>
    </row>
    <row r="114" ht="33.75" customHeight="1" spans="1:8">
      <c r="A114" s="110">
        <f t="shared" si="5"/>
        <v>108</v>
      </c>
      <c r="B114" s="111" t="s">
        <v>271</v>
      </c>
      <c r="C114" s="112" t="s">
        <v>272</v>
      </c>
      <c r="D114" s="108">
        <v>3</v>
      </c>
      <c r="E114" s="113"/>
      <c r="F114" s="113"/>
      <c r="G114" s="109" t="str">
        <f t="shared" si="4"/>
        <v/>
      </c>
      <c r="H114" s="87">
        <f t="shared" si="3"/>
        <v>1</v>
      </c>
    </row>
    <row r="115" ht="33.75" customHeight="1" spans="1:8">
      <c r="A115" s="110">
        <f t="shared" si="5"/>
        <v>109</v>
      </c>
      <c r="B115" s="111" t="s">
        <v>273</v>
      </c>
      <c r="C115" s="112" t="s">
        <v>274</v>
      </c>
      <c r="D115" s="108">
        <v>2</v>
      </c>
      <c r="E115" s="108"/>
      <c r="F115" s="108"/>
      <c r="G115" s="109" t="str">
        <f t="shared" si="4"/>
        <v/>
      </c>
      <c r="H115" s="87">
        <f t="shared" ref="H115:H178" si="6">IF(AND(D115="",E115="",F115=""),"",1)</f>
        <v>1</v>
      </c>
    </row>
    <row r="116" ht="33.75" customHeight="1" spans="1:8">
      <c r="A116" s="110">
        <f t="shared" si="5"/>
        <v>110</v>
      </c>
      <c r="B116" s="111" t="s">
        <v>275</v>
      </c>
      <c r="C116" s="112" t="s">
        <v>276</v>
      </c>
      <c r="D116" s="108">
        <v>3</v>
      </c>
      <c r="E116" s="113"/>
      <c r="F116" s="113"/>
      <c r="G116" s="109" t="str">
        <f t="shared" si="4"/>
        <v/>
      </c>
      <c r="H116" s="87">
        <f t="shared" si="6"/>
        <v>1</v>
      </c>
    </row>
    <row r="117" ht="33.75" customHeight="1" spans="1:8">
      <c r="A117" s="110">
        <f t="shared" si="5"/>
        <v>111</v>
      </c>
      <c r="B117" s="111" t="s">
        <v>277</v>
      </c>
      <c r="C117" s="112" t="s">
        <v>278</v>
      </c>
      <c r="D117" s="108">
        <v>3</v>
      </c>
      <c r="E117" s="113"/>
      <c r="F117" s="113"/>
      <c r="G117" s="109" t="str">
        <f t="shared" si="4"/>
        <v/>
      </c>
      <c r="H117" s="87">
        <f t="shared" si="6"/>
        <v>1</v>
      </c>
    </row>
    <row r="118" ht="33.75" customHeight="1" spans="1:8">
      <c r="A118" s="110">
        <f t="shared" si="5"/>
        <v>112</v>
      </c>
      <c r="B118" s="111" t="s">
        <v>279</v>
      </c>
      <c r="C118" s="112" t="s">
        <v>280</v>
      </c>
      <c r="D118" s="108">
        <v>2</v>
      </c>
      <c r="E118" s="108"/>
      <c r="F118" s="108"/>
      <c r="G118" s="109" t="str">
        <f t="shared" si="4"/>
        <v/>
      </c>
      <c r="H118" s="87">
        <f t="shared" si="6"/>
        <v>1</v>
      </c>
    </row>
    <row r="119" ht="33.75" customHeight="1" spans="1:8">
      <c r="A119" s="110">
        <f t="shared" si="5"/>
        <v>113</v>
      </c>
      <c r="B119" s="111" t="s">
        <v>281</v>
      </c>
      <c r="C119" s="112" t="s">
        <v>282</v>
      </c>
      <c r="D119" s="108">
        <v>2</v>
      </c>
      <c r="E119" s="113"/>
      <c r="F119" s="113"/>
      <c r="G119" s="109" t="str">
        <f t="shared" si="4"/>
        <v/>
      </c>
      <c r="H119" s="87">
        <f t="shared" si="6"/>
        <v>1</v>
      </c>
    </row>
    <row r="120" ht="33.75" customHeight="1" spans="1:8">
      <c r="A120" s="110">
        <f t="shared" si="5"/>
        <v>114</v>
      </c>
      <c r="B120" s="111" t="s">
        <v>283</v>
      </c>
      <c r="C120" s="112" t="s">
        <v>284</v>
      </c>
      <c r="D120" s="108"/>
      <c r="E120" s="113"/>
      <c r="F120" s="113">
        <v>3</v>
      </c>
      <c r="G120" s="109" t="str">
        <f t="shared" si="4"/>
        <v/>
      </c>
      <c r="H120" s="87">
        <f t="shared" si="6"/>
        <v>1</v>
      </c>
    </row>
    <row r="121" ht="33.75" customHeight="1" spans="1:8">
      <c r="A121" s="110">
        <f t="shared" si="5"/>
        <v>115</v>
      </c>
      <c r="B121" s="111" t="s">
        <v>285</v>
      </c>
      <c r="C121" s="112" t="s">
        <v>286</v>
      </c>
      <c r="D121" s="108"/>
      <c r="E121" s="108"/>
      <c r="F121" s="108">
        <v>2</v>
      </c>
      <c r="G121" s="109" t="str">
        <f t="shared" si="4"/>
        <v/>
      </c>
      <c r="H121" s="87">
        <f t="shared" si="6"/>
        <v>1</v>
      </c>
    </row>
    <row r="122" ht="33.75" customHeight="1" spans="1:8">
      <c r="A122" s="110">
        <f t="shared" si="5"/>
        <v>116</v>
      </c>
      <c r="B122" s="111" t="s">
        <v>287</v>
      </c>
      <c r="C122" s="112" t="s">
        <v>288</v>
      </c>
      <c r="D122" s="108"/>
      <c r="E122" s="113"/>
      <c r="F122" s="113">
        <v>2</v>
      </c>
      <c r="G122" s="109" t="str">
        <f t="shared" si="4"/>
        <v/>
      </c>
      <c r="H122" s="87">
        <f t="shared" si="6"/>
        <v>1</v>
      </c>
    </row>
    <row r="123" ht="33.75" customHeight="1" spans="1:8">
      <c r="A123" s="110">
        <f t="shared" si="5"/>
        <v>117</v>
      </c>
      <c r="B123" s="111" t="s">
        <v>289</v>
      </c>
      <c r="C123" s="112" t="s">
        <v>290</v>
      </c>
      <c r="D123" s="108"/>
      <c r="E123" s="113"/>
      <c r="F123" s="113">
        <v>3</v>
      </c>
      <c r="G123" s="109" t="str">
        <f t="shared" si="4"/>
        <v/>
      </c>
      <c r="H123" s="87">
        <f t="shared" si="6"/>
        <v>1</v>
      </c>
    </row>
    <row r="124" ht="33.75" customHeight="1" spans="1:8">
      <c r="A124" s="110">
        <f t="shared" si="5"/>
        <v>118</v>
      </c>
      <c r="B124" s="111" t="s">
        <v>291</v>
      </c>
      <c r="C124" s="112" t="s">
        <v>292</v>
      </c>
      <c r="D124" s="108"/>
      <c r="E124" s="108"/>
      <c r="F124" s="108">
        <v>3</v>
      </c>
      <c r="G124" s="109" t="str">
        <f t="shared" si="4"/>
        <v/>
      </c>
      <c r="H124" s="87">
        <f t="shared" si="6"/>
        <v>1</v>
      </c>
    </row>
    <row r="125" ht="33.75" customHeight="1" spans="1:8">
      <c r="A125" s="110">
        <f t="shared" si="5"/>
        <v>119</v>
      </c>
      <c r="B125" s="111" t="s">
        <v>293</v>
      </c>
      <c r="C125" s="112" t="s">
        <v>294</v>
      </c>
      <c r="D125" s="108"/>
      <c r="E125" s="113"/>
      <c r="F125" s="113">
        <v>2</v>
      </c>
      <c r="G125" s="109" t="str">
        <f t="shared" si="4"/>
        <v/>
      </c>
      <c r="H125" s="87">
        <f t="shared" si="6"/>
        <v>1</v>
      </c>
    </row>
    <row r="126" ht="33.75" customHeight="1" spans="1:8">
      <c r="A126" s="110">
        <f t="shared" si="5"/>
        <v>120</v>
      </c>
      <c r="B126" s="111" t="s">
        <v>295</v>
      </c>
      <c r="C126" s="112" t="s">
        <v>296</v>
      </c>
      <c r="D126" s="108"/>
      <c r="E126" s="113"/>
      <c r="F126" s="113">
        <v>2</v>
      </c>
      <c r="G126" s="109" t="str">
        <f t="shared" si="4"/>
        <v/>
      </c>
      <c r="H126" s="87">
        <f t="shared" si="6"/>
        <v>1</v>
      </c>
    </row>
    <row r="127" ht="33.75" customHeight="1" spans="1:8">
      <c r="A127" s="110">
        <f t="shared" si="5"/>
        <v>121</v>
      </c>
      <c r="B127" s="111" t="s">
        <v>297</v>
      </c>
      <c r="C127" s="112" t="s">
        <v>298</v>
      </c>
      <c r="D127" s="108">
        <v>2</v>
      </c>
      <c r="E127" s="108"/>
      <c r="F127" s="108"/>
      <c r="G127" s="109" t="str">
        <f t="shared" si="4"/>
        <v/>
      </c>
      <c r="H127" s="87">
        <f t="shared" si="6"/>
        <v>1</v>
      </c>
    </row>
    <row r="128" ht="33.75" customHeight="1" spans="1:8">
      <c r="A128" s="110">
        <f t="shared" si="5"/>
        <v>122</v>
      </c>
      <c r="B128" s="111" t="s">
        <v>299</v>
      </c>
      <c r="C128" s="112" t="s">
        <v>300</v>
      </c>
      <c r="D128" s="108">
        <v>2</v>
      </c>
      <c r="E128" s="113"/>
      <c r="F128" s="113"/>
      <c r="G128" s="109" t="str">
        <f t="shared" si="4"/>
        <v/>
      </c>
      <c r="H128" s="87">
        <f t="shared" si="6"/>
        <v>1</v>
      </c>
    </row>
    <row r="129" ht="33.75" customHeight="1" spans="1:8">
      <c r="A129" s="110">
        <f t="shared" si="5"/>
        <v>123</v>
      </c>
      <c r="B129" s="111" t="s">
        <v>301</v>
      </c>
      <c r="C129" s="112" t="s">
        <v>302</v>
      </c>
      <c r="D129" s="108"/>
      <c r="E129" s="113"/>
      <c r="F129" s="113">
        <v>3</v>
      </c>
      <c r="G129" s="109" t="str">
        <f t="shared" si="4"/>
        <v/>
      </c>
      <c r="H129" s="87">
        <f t="shared" si="6"/>
        <v>1</v>
      </c>
    </row>
    <row r="130" ht="33.75" customHeight="1" spans="1:8">
      <c r="A130" s="110">
        <f t="shared" si="5"/>
        <v>124</v>
      </c>
      <c r="B130" s="111" t="s">
        <v>303</v>
      </c>
      <c r="C130" s="112" t="s">
        <v>304</v>
      </c>
      <c r="D130" s="108"/>
      <c r="E130" s="108"/>
      <c r="F130" s="108">
        <v>3</v>
      </c>
      <c r="G130" s="109" t="str">
        <f t="shared" si="4"/>
        <v/>
      </c>
      <c r="H130" s="87">
        <f t="shared" si="6"/>
        <v>1</v>
      </c>
    </row>
    <row r="131" ht="33.75" customHeight="1" spans="1:8">
      <c r="A131" s="110">
        <f t="shared" si="5"/>
        <v>125</v>
      </c>
      <c r="B131" s="111" t="s">
        <v>305</v>
      </c>
      <c r="C131" s="112" t="s">
        <v>306</v>
      </c>
      <c r="D131" s="108"/>
      <c r="E131" s="113"/>
      <c r="F131" s="113">
        <v>3</v>
      </c>
      <c r="G131" s="109" t="str">
        <f t="shared" si="4"/>
        <v/>
      </c>
      <c r="H131" s="87">
        <f t="shared" si="6"/>
        <v>1</v>
      </c>
    </row>
    <row r="132" ht="33.75" customHeight="1" spans="1:8">
      <c r="A132" s="110">
        <f t="shared" si="5"/>
        <v>126</v>
      </c>
      <c r="B132" s="111" t="s">
        <v>307</v>
      </c>
      <c r="C132" s="112" t="s">
        <v>308</v>
      </c>
      <c r="D132" s="108"/>
      <c r="E132" s="113"/>
      <c r="F132" s="113">
        <v>3</v>
      </c>
      <c r="G132" s="109" t="str">
        <f t="shared" si="4"/>
        <v/>
      </c>
      <c r="H132" s="87">
        <f t="shared" si="6"/>
        <v>1</v>
      </c>
    </row>
    <row r="133" ht="33.75" customHeight="1" spans="1:8">
      <c r="A133" s="110">
        <f t="shared" si="5"/>
        <v>127</v>
      </c>
      <c r="B133" s="111" t="s">
        <v>309</v>
      </c>
      <c r="C133" s="112" t="s">
        <v>310</v>
      </c>
      <c r="D133" s="108">
        <v>2</v>
      </c>
      <c r="E133" s="108"/>
      <c r="F133" s="108"/>
      <c r="G133" s="109" t="str">
        <f t="shared" si="4"/>
        <v/>
      </c>
      <c r="H133" s="87">
        <f t="shared" si="6"/>
        <v>1</v>
      </c>
    </row>
    <row r="134" ht="33.75" customHeight="1" spans="1:8">
      <c r="A134" s="110">
        <f t="shared" si="5"/>
        <v>128</v>
      </c>
      <c r="B134" s="111" t="s">
        <v>311</v>
      </c>
      <c r="C134" s="112" t="s">
        <v>312</v>
      </c>
      <c r="D134" s="108">
        <v>3</v>
      </c>
      <c r="E134" s="113"/>
      <c r="F134" s="113"/>
      <c r="G134" s="109" t="str">
        <f t="shared" si="4"/>
        <v/>
      </c>
      <c r="H134" s="87">
        <f t="shared" si="6"/>
        <v>1</v>
      </c>
    </row>
    <row r="135" ht="33.75" customHeight="1" spans="1:8">
      <c r="A135" s="110">
        <f t="shared" si="5"/>
        <v>129</v>
      </c>
      <c r="B135" s="111" t="s">
        <v>313</v>
      </c>
      <c r="C135" s="112" t="s">
        <v>314</v>
      </c>
      <c r="D135" s="108"/>
      <c r="E135" s="113"/>
      <c r="F135" s="113">
        <v>3</v>
      </c>
      <c r="G135" s="109" t="str">
        <f t="shared" si="4"/>
        <v/>
      </c>
      <c r="H135" s="87">
        <f t="shared" si="6"/>
        <v>1</v>
      </c>
    </row>
    <row r="136" ht="33.75" customHeight="1" spans="1:8">
      <c r="A136" s="110">
        <f t="shared" si="5"/>
        <v>130</v>
      </c>
      <c r="B136" s="111" t="s">
        <v>315</v>
      </c>
      <c r="C136" s="112" t="s">
        <v>316</v>
      </c>
      <c r="D136" s="108"/>
      <c r="E136" s="108"/>
      <c r="F136" s="108">
        <v>3</v>
      </c>
      <c r="G136" s="109" t="str">
        <f t="shared" ref="G136:G186" si="7">IF(OR(AND(D136&gt;0,E136&gt;0),AND(D136&gt;0,F136&gt;0),AND(E136&gt;0,F136&gt;0)),"重复！","")</f>
        <v/>
      </c>
      <c r="H136" s="87">
        <f t="shared" si="6"/>
        <v>1</v>
      </c>
    </row>
    <row r="137" ht="33.75" customHeight="1" spans="1:8">
      <c r="A137" s="110">
        <f t="shared" ref="A137:A186" si="8">A136+1</f>
        <v>131</v>
      </c>
      <c r="B137" s="111" t="s">
        <v>317</v>
      </c>
      <c r="C137" s="112" t="s">
        <v>318</v>
      </c>
      <c r="D137" s="108"/>
      <c r="E137" s="113"/>
      <c r="F137" s="113">
        <v>3</v>
      </c>
      <c r="G137" s="109" t="str">
        <f t="shared" si="7"/>
        <v/>
      </c>
      <c r="H137" s="87">
        <f t="shared" si="6"/>
        <v>1</v>
      </c>
    </row>
    <row r="138" ht="33.75" customHeight="1" spans="1:8">
      <c r="A138" s="110">
        <f t="shared" si="8"/>
        <v>132</v>
      </c>
      <c r="B138" s="111" t="s">
        <v>319</v>
      </c>
      <c r="C138" s="112" t="s">
        <v>320</v>
      </c>
      <c r="D138" s="108">
        <v>3</v>
      </c>
      <c r="E138" s="113"/>
      <c r="F138" s="113"/>
      <c r="G138" s="109" t="str">
        <f t="shared" si="7"/>
        <v/>
      </c>
      <c r="H138" s="87">
        <f t="shared" si="6"/>
        <v>1</v>
      </c>
    </row>
    <row r="139" ht="33.75" customHeight="1" spans="1:8">
      <c r="A139" s="110">
        <f t="shared" si="8"/>
        <v>133</v>
      </c>
      <c r="B139" s="111" t="s">
        <v>321</v>
      </c>
      <c r="C139" s="112" t="s">
        <v>322</v>
      </c>
      <c r="D139" s="108">
        <v>3</v>
      </c>
      <c r="E139" s="108"/>
      <c r="F139" s="108"/>
      <c r="G139" s="109" t="str">
        <f t="shared" si="7"/>
        <v/>
      </c>
      <c r="H139" s="87">
        <f t="shared" si="6"/>
        <v>1</v>
      </c>
    </row>
    <row r="140" ht="33.75" customHeight="1" spans="1:8">
      <c r="A140" s="110">
        <f t="shared" si="8"/>
        <v>134</v>
      </c>
      <c r="B140" s="111" t="s">
        <v>323</v>
      </c>
      <c r="C140" s="112" t="s">
        <v>324</v>
      </c>
      <c r="D140" s="108">
        <v>2</v>
      </c>
      <c r="E140" s="113"/>
      <c r="F140" s="113"/>
      <c r="G140" s="109" t="str">
        <f t="shared" si="7"/>
        <v/>
      </c>
      <c r="H140" s="87">
        <f t="shared" si="6"/>
        <v>1</v>
      </c>
    </row>
    <row r="141" ht="33.75" customHeight="1" spans="1:8">
      <c r="A141" s="110">
        <f t="shared" si="8"/>
        <v>135</v>
      </c>
      <c r="B141" s="111" t="s">
        <v>325</v>
      </c>
      <c r="C141" s="112" t="s">
        <v>326</v>
      </c>
      <c r="D141" s="108"/>
      <c r="E141" s="113"/>
      <c r="F141" s="113">
        <v>2</v>
      </c>
      <c r="G141" s="109" t="str">
        <f t="shared" si="7"/>
        <v/>
      </c>
      <c r="H141" s="87">
        <f t="shared" si="6"/>
        <v>1</v>
      </c>
    </row>
    <row r="142" ht="33.75" customHeight="1" spans="1:8">
      <c r="A142" s="110">
        <f t="shared" si="8"/>
        <v>136</v>
      </c>
      <c r="B142" s="111" t="s">
        <v>327</v>
      </c>
      <c r="C142" s="112" t="s">
        <v>328</v>
      </c>
      <c r="D142" s="108"/>
      <c r="E142" s="108"/>
      <c r="F142" s="108">
        <v>3</v>
      </c>
      <c r="G142" s="109" t="str">
        <f t="shared" si="7"/>
        <v/>
      </c>
      <c r="H142" s="87">
        <f t="shared" si="6"/>
        <v>1</v>
      </c>
    </row>
    <row r="143" ht="33.75" customHeight="1" spans="1:8">
      <c r="A143" s="110">
        <f t="shared" si="8"/>
        <v>137</v>
      </c>
      <c r="B143" s="111" t="s">
        <v>329</v>
      </c>
      <c r="C143" s="112" t="s">
        <v>330</v>
      </c>
      <c r="D143" s="108">
        <v>2</v>
      </c>
      <c r="E143" s="113"/>
      <c r="F143" s="113"/>
      <c r="G143" s="109" t="str">
        <f t="shared" si="7"/>
        <v/>
      </c>
      <c r="H143" s="87">
        <f t="shared" si="6"/>
        <v>1</v>
      </c>
    </row>
    <row r="144" ht="33.75" customHeight="1" spans="1:8">
      <c r="A144" s="110">
        <f t="shared" si="8"/>
        <v>138</v>
      </c>
      <c r="B144" s="111" t="s">
        <v>331</v>
      </c>
      <c r="C144" s="112" t="s">
        <v>332</v>
      </c>
      <c r="D144" s="108"/>
      <c r="E144" s="113"/>
      <c r="F144" s="113">
        <v>2</v>
      </c>
      <c r="G144" s="109" t="str">
        <f t="shared" si="7"/>
        <v/>
      </c>
      <c r="H144" s="87">
        <f t="shared" si="6"/>
        <v>1</v>
      </c>
    </row>
    <row r="145" ht="33.75" customHeight="1" spans="1:8">
      <c r="A145" s="110">
        <f t="shared" si="8"/>
        <v>139</v>
      </c>
      <c r="B145" s="111" t="s">
        <v>333</v>
      </c>
      <c r="C145" s="112" t="s">
        <v>334</v>
      </c>
      <c r="D145" s="108"/>
      <c r="E145" s="108">
        <v>1</v>
      </c>
      <c r="F145" s="108"/>
      <c r="G145" s="109" t="str">
        <f t="shared" si="7"/>
        <v/>
      </c>
      <c r="H145" s="87">
        <f t="shared" si="6"/>
        <v>1</v>
      </c>
    </row>
    <row r="146" ht="33.75" customHeight="1" spans="1:8">
      <c r="A146" s="110">
        <f t="shared" si="8"/>
        <v>140</v>
      </c>
      <c r="B146" s="111" t="s">
        <v>335</v>
      </c>
      <c r="C146" s="112" t="s">
        <v>336</v>
      </c>
      <c r="D146" s="108">
        <v>2</v>
      </c>
      <c r="E146" s="113"/>
      <c r="F146" s="113"/>
      <c r="G146" s="109" t="str">
        <f t="shared" si="7"/>
        <v/>
      </c>
      <c r="H146" s="87">
        <f t="shared" si="6"/>
        <v>1</v>
      </c>
    </row>
    <row r="147" ht="33.75" customHeight="1" spans="1:8">
      <c r="A147" s="110">
        <f t="shared" si="8"/>
        <v>141</v>
      </c>
      <c r="B147" s="111" t="s">
        <v>337</v>
      </c>
      <c r="C147" s="112" t="s">
        <v>338</v>
      </c>
      <c r="D147" s="108"/>
      <c r="E147" s="113"/>
      <c r="F147" s="113">
        <v>2</v>
      </c>
      <c r="G147" s="109" t="str">
        <f t="shared" si="7"/>
        <v/>
      </c>
      <c r="H147" s="87">
        <f t="shared" si="6"/>
        <v>1</v>
      </c>
    </row>
    <row r="148" ht="33.75" customHeight="1" spans="1:8">
      <c r="A148" s="110">
        <f t="shared" si="8"/>
        <v>142</v>
      </c>
      <c r="B148" s="111" t="s">
        <v>339</v>
      </c>
      <c r="C148" s="112" t="s">
        <v>340</v>
      </c>
      <c r="D148" s="108"/>
      <c r="E148" s="108"/>
      <c r="F148" s="108">
        <v>2</v>
      </c>
      <c r="G148" s="109" t="str">
        <f t="shared" si="7"/>
        <v/>
      </c>
      <c r="H148" s="87">
        <f t="shared" si="6"/>
        <v>1</v>
      </c>
    </row>
    <row r="149" ht="33.75" customHeight="1" spans="1:8">
      <c r="A149" s="110">
        <f t="shared" si="8"/>
        <v>143</v>
      </c>
      <c r="B149" s="111" t="s">
        <v>341</v>
      </c>
      <c r="C149" s="112" t="s">
        <v>342</v>
      </c>
      <c r="D149" s="108"/>
      <c r="E149" s="113"/>
      <c r="F149" s="113">
        <v>2</v>
      </c>
      <c r="G149" s="109" t="str">
        <f t="shared" si="7"/>
        <v/>
      </c>
      <c r="H149" s="87">
        <f t="shared" si="6"/>
        <v>1</v>
      </c>
    </row>
    <row r="150" ht="33.75" customHeight="1" spans="1:8">
      <c r="A150" s="110">
        <f t="shared" si="8"/>
        <v>144</v>
      </c>
      <c r="B150" s="111" t="s">
        <v>343</v>
      </c>
      <c r="C150" s="112" t="s">
        <v>344</v>
      </c>
      <c r="D150" s="108">
        <v>2</v>
      </c>
      <c r="E150" s="113"/>
      <c r="F150" s="113"/>
      <c r="G150" s="109" t="str">
        <f t="shared" si="7"/>
        <v/>
      </c>
      <c r="H150" s="87">
        <f t="shared" si="6"/>
        <v>1</v>
      </c>
    </row>
    <row r="151" ht="33.75" customHeight="1" spans="1:8">
      <c r="A151" s="110">
        <f t="shared" si="8"/>
        <v>145</v>
      </c>
      <c r="B151" s="111" t="s">
        <v>345</v>
      </c>
      <c r="C151" s="112" t="s">
        <v>346</v>
      </c>
      <c r="D151" s="108"/>
      <c r="E151" s="108"/>
      <c r="F151" s="108">
        <v>2</v>
      </c>
      <c r="G151" s="109" t="str">
        <f t="shared" si="7"/>
        <v/>
      </c>
      <c r="H151" s="87">
        <f t="shared" si="6"/>
        <v>1</v>
      </c>
    </row>
    <row r="152" ht="33.75" customHeight="1" spans="1:8">
      <c r="A152" s="110">
        <f t="shared" si="8"/>
        <v>146</v>
      </c>
      <c r="B152" s="111" t="s">
        <v>347</v>
      </c>
      <c r="C152" s="112" t="s">
        <v>348</v>
      </c>
      <c r="D152" s="108">
        <v>3</v>
      </c>
      <c r="E152" s="113"/>
      <c r="F152" s="113"/>
      <c r="G152" s="109" t="str">
        <f t="shared" si="7"/>
        <v/>
      </c>
      <c r="H152" s="87">
        <f t="shared" si="6"/>
        <v>1</v>
      </c>
    </row>
    <row r="153" ht="33.75" customHeight="1" spans="1:8">
      <c r="A153" s="110">
        <f t="shared" si="8"/>
        <v>147</v>
      </c>
      <c r="B153" s="111" t="s">
        <v>349</v>
      </c>
      <c r="C153" s="112" t="s">
        <v>350</v>
      </c>
      <c r="D153" s="108">
        <v>3</v>
      </c>
      <c r="E153" s="113"/>
      <c r="F153" s="113"/>
      <c r="G153" s="109" t="str">
        <f t="shared" si="7"/>
        <v/>
      </c>
      <c r="H153" s="87">
        <f t="shared" si="6"/>
        <v>1</v>
      </c>
    </row>
    <row r="154" ht="33.75" customHeight="1" spans="1:8">
      <c r="A154" s="110">
        <f t="shared" si="8"/>
        <v>148</v>
      </c>
      <c r="B154" s="111" t="s">
        <v>351</v>
      </c>
      <c r="C154" s="112" t="s">
        <v>352</v>
      </c>
      <c r="D154" s="108">
        <v>3</v>
      </c>
      <c r="E154" s="108"/>
      <c r="F154" s="108"/>
      <c r="G154" s="109" t="str">
        <f t="shared" si="7"/>
        <v/>
      </c>
      <c r="H154" s="87">
        <f t="shared" si="6"/>
        <v>1</v>
      </c>
    </row>
    <row r="155" ht="33.75" customHeight="1" spans="1:8">
      <c r="A155" s="110">
        <f t="shared" si="8"/>
        <v>149</v>
      </c>
      <c r="B155" s="111" t="s">
        <v>353</v>
      </c>
      <c r="C155" s="112" t="s">
        <v>354</v>
      </c>
      <c r="D155" s="108"/>
      <c r="E155" s="113"/>
      <c r="F155" s="113">
        <v>2</v>
      </c>
      <c r="G155" s="109" t="str">
        <f t="shared" si="7"/>
        <v/>
      </c>
      <c r="H155" s="87">
        <f t="shared" si="6"/>
        <v>1</v>
      </c>
    </row>
    <row r="156" ht="33.75" customHeight="1" spans="1:8">
      <c r="A156" s="110">
        <f t="shared" si="8"/>
        <v>150</v>
      </c>
      <c r="B156" s="111" t="s">
        <v>355</v>
      </c>
      <c r="C156" s="112" t="s">
        <v>356</v>
      </c>
      <c r="D156" s="108">
        <v>3</v>
      </c>
      <c r="E156" s="113"/>
      <c r="F156" s="113"/>
      <c r="G156" s="109" t="str">
        <f t="shared" si="7"/>
        <v/>
      </c>
      <c r="H156" s="87">
        <f t="shared" si="6"/>
        <v>1</v>
      </c>
    </row>
    <row r="157" ht="33.75" customHeight="1" spans="1:8">
      <c r="A157" s="110">
        <f t="shared" si="8"/>
        <v>151</v>
      </c>
      <c r="B157" s="111" t="s">
        <v>357</v>
      </c>
      <c r="C157" s="112" t="s">
        <v>358</v>
      </c>
      <c r="D157" s="108"/>
      <c r="E157" s="108"/>
      <c r="F157" s="108">
        <v>2</v>
      </c>
      <c r="G157" s="109" t="str">
        <f t="shared" si="7"/>
        <v/>
      </c>
      <c r="H157" s="87">
        <f t="shared" si="6"/>
        <v>1</v>
      </c>
    </row>
    <row r="158" ht="33.75" customHeight="1" spans="1:8">
      <c r="A158" s="110">
        <f t="shared" si="8"/>
        <v>152</v>
      </c>
      <c r="B158" s="111" t="s">
        <v>359</v>
      </c>
      <c r="C158" s="112" t="s">
        <v>360</v>
      </c>
      <c r="D158" s="108"/>
      <c r="E158" s="113"/>
      <c r="F158" s="113">
        <v>3</v>
      </c>
      <c r="G158" s="109" t="str">
        <f t="shared" si="7"/>
        <v/>
      </c>
      <c r="H158" s="87">
        <f t="shared" si="6"/>
        <v>1</v>
      </c>
    </row>
    <row r="159" ht="33.75" customHeight="1" spans="1:8">
      <c r="A159" s="110">
        <f t="shared" si="8"/>
        <v>153</v>
      </c>
      <c r="B159" s="111" t="s">
        <v>361</v>
      </c>
      <c r="C159" s="112" t="s">
        <v>362</v>
      </c>
      <c r="D159" s="108">
        <v>3</v>
      </c>
      <c r="E159" s="113"/>
      <c r="F159" s="113"/>
      <c r="G159" s="109" t="str">
        <f t="shared" si="7"/>
        <v/>
      </c>
      <c r="H159" s="87">
        <f t="shared" si="6"/>
        <v>1</v>
      </c>
    </row>
    <row r="160" ht="33.75" customHeight="1" spans="1:8">
      <c r="A160" s="110">
        <f t="shared" si="8"/>
        <v>154</v>
      </c>
      <c r="B160" s="111" t="s">
        <v>363</v>
      </c>
      <c r="C160" s="112" t="s">
        <v>364</v>
      </c>
      <c r="D160" s="108"/>
      <c r="E160" s="108"/>
      <c r="F160" s="108">
        <v>3</v>
      </c>
      <c r="G160" s="109" t="str">
        <f t="shared" si="7"/>
        <v/>
      </c>
      <c r="H160" s="87">
        <f t="shared" si="6"/>
        <v>1</v>
      </c>
    </row>
    <row r="161" ht="33.75" customHeight="1" spans="1:8">
      <c r="A161" s="110">
        <f t="shared" si="8"/>
        <v>155</v>
      </c>
      <c r="B161" s="111" t="s">
        <v>365</v>
      </c>
      <c r="C161" s="112" t="s">
        <v>366</v>
      </c>
      <c r="D161" s="108">
        <v>3</v>
      </c>
      <c r="E161" s="113"/>
      <c r="F161" s="113"/>
      <c r="G161" s="109" t="str">
        <f t="shared" si="7"/>
        <v/>
      </c>
      <c r="H161" s="87">
        <f t="shared" si="6"/>
        <v>1</v>
      </c>
    </row>
    <row r="162" ht="33.75" customHeight="1" spans="1:8">
      <c r="A162" s="110">
        <f t="shared" si="8"/>
        <v>156</v>
      </c>
      <c r="B162" s="111" t="s">
        <v>367</v>
      </c>
      <c r="C162" s="112" t="s">
        <v>368</v>
      </c>
      <c r="D162" s="108"/>
      <c r="E162" s="113"/>
      <c r="F162" s="113">
        <v>2</v>
      </c>
      <c r="G162" s="109" t="str">
        <f t="shared" si="7"/>
        <v/>
      </c>
      <c r="H162" s="87">
        <f t="shared" si="6"/>
        <v>1</v>
      </c>
    </row>
    <row r="163" ht="33.75" customHeight="1" spans="1:8">
      <c r="A163" s="110">
        <f t="shared" si="8"/>
        <v>157</v>
      </c>
      <c r="B163" s="111" t="s">
        <v>369</v>
      </c>
      <c r="C163" s="112" t="s">
        <v>370</v>
      </c>
      <c r="D163" s="108">
        <v>2</v>
      </c>
      <c r="E163" s="108"/>
      <c r="F163" s="108"/>
      <c r="G163" s="109" t="str">
        <f t="shared" si="7"/>
        <v/>
      </c>
      <c r="H163" s="87">
        <f t="shared" si="6"/>
        <v>1</v>
      </c>
    </row>
    <row r="164" ht="33.75" customHeight="1" spans="1:8">
      <c r="A164" s="110">
        <f t="shared" si="8"/>
        <v>158</v>
      </c>
      <c r="B164" s="111" t="s">
        <v>371</v>
      </c>
      <c r="C164" s="112" t="s">
        <v>372</v>
      </c>
      <c r="D164" s="108">
        <v>3</v>
      </c>
      <c r="E164" s="113"/>
      <c r="F164" s="113"/>
      <c r="G164" s="109" t="str">
        <f t="shared" si="7"/>
        <v/>
      </c>
      <c r="H164" s="87">
        <f t="shared" si="6"/>
        <v>1</v>
      </c>
    </row>
    <row r="165" ht="33.75" customHeight="1" spans="1:8">
      <c r="A165" s="110">
        <f t="shared" si="8"/>
        <v>159</v>
      </c>
      <c r="B165" s="111" t="s">
        <v>373</v>
      </c>
      <c r="C165" s="112" t="s">
        <v>374</v>
      </c>
      <c r="D165" s="108"/>
      <c r="E165" s="113"/>
      <c r="F165" s="113">
        <v>2</v>
      </c>
      <c r="G165" s="109" t="str">
        <f t="shared" si="7"/>
        <v/>
      </c>
      <c r="H165" s="87">
        <f t="shared" si="6"/>
        <v>1</v>
      </c>
    </row>
    <row r="166" ht="33.75" customHeight="1" spans="1:8">
      <c r="A166" s="110">
        <f t="shared" si="8"/>
        <v>160</v>
      </c>
      <c r="B166" s="111" t="s">
        <v>375</v>
      </c>
      <c r="C166" s="112" t="s">
        <v>376</v>
      </c>
      <c r="D166" s="108">
        <v>3</v>
      </c>
      <c r="E166" s="108"/>
      <c r="F166" s="108"/>
      <c r="G166" s="109" t="str">
        <f t="shared" si="7"/>
        <v/>
      </c>
      <c r="H166" s="87">
        <f t="shared" si="6"/>
        <v>1</v>
      </c>
    </row>
    <row r="167" ht="33.75" customHeight="1" spans="1:8">
      <c r="A167" s="110">
        <f t="shared" si="8"/>
        <v>161</v>
      </c>
      <c r="B167" s="111" t="s">
        <v>377</v>
      </c>
      <c r="C167" s="112" t="s">
        <v>378</v>
      </c>
      <c r="D167" s="108">
        <v>2</v>
      </c>
      <c r="E167" s="113"/>
      <c r="F167" s="113"/>
      <c r="G167" s="109" t="str">
        <f t="shared" si="7"/>
        <v/>
      </c>
      <c r="H167" s="87">
        <f t="shared" si="6"/>
        <v>1</v>
      </c>
    </row>
    <row r="168" ht="33.75" customHeight="1" spans="1:8">
      <c r="A168" s="110">
        <f t="shared" si="8"/>
        <v>162</v>
      </c>
      <c r="B168" s="111" t="s">
        <v>379</v>
      </c>
      <c r="C168" s="112" t="s">
        <v>380</v>
      </c>
      <c r="D168" s="108"/>
      <c r="E168" s="113"/>
      <c r="F168" s="113">
        <v>3</v>
      </c>
      <c r="G168" s="109" t="str">
        <f t="shared" si="7"/>
        <v/>
      </c>
      <c r="H168" s="87">
        <f t="shared" si="6"/>
        <v>1</v>
      </c>
    </row>
    <row r="169" ht="33.75" customHeight="1" spans="1:8">
      <c r="A169" s="110">
        <f t="shared" si="8"/>
        <v>163</v>
      </c>
      <c r="B169" s="111" t="s">
        <v>381</v>
      </c>
      <c r="C169" s="112" t="s">
        <v>382</v>
      </c>
      <c r="D169" s="108">
        <v>3</v>
      </c>
      <c r="E169" s="108"/>
      <c r="F169" s="108"/>
      <c r="G169" s="109" t="str">
        <f t="shared" si="7"/>
        <v/>
      </c>
      <c r="H169" s="87">
        <f t="shared" si="6"/>
        <v>1</v>
      </c>
    </row>
    <row r="170" ht="33.75" customHeight="1" spans="1:8">
      <c r="A170" s="110">
        <f t="shared" si="8"/>
        <v>164</v>
      </c>
      <c r="B170" s="111" t="s">
        <v>383</v>
      </c>
      <c r="C170" s="112" t="s">
        <v>384</v>
      </c>
      <c r="D170" s="108">
        <v>3</v>
      </c>
      <c r="E170" s="113"/>
      <c r="F170" s="113"/>
      <c r="G170" s="109" t="str">
        <f t="shared" si="7"/>
        <v/>
      </c>
      <c r="H170" s="87">
        <f t="shared" si="6"/>
        <v>1</v>
      </c>
    </row>
    <row r="171" ht="33.75" customHeight="1" spans="1:8">
      <c r="A171" s="110">
        <f t="shared" si="8"/>
        <v>165</v>
      </c>
      <c r="B171" s="111" t="s">
        <v>385</v>
      </c>
      <c r="C171" s="112" t="s">
        <v>386</v>
      </c>
      <c r="D171" s="108"/>
      <c r="E171" s="113"/>
      <c r="F171" s="113">
        <v>3</v>
      </c>
      <c r="G171" s="109" t="str">
        <f t="shared" si="7"/>
        <v/>
      </c>
      <c r="H171" s="87">
        <f t="shared" si="6"/>
        <v>1</v>
      </c>
    </row>
    <row r="172" ht="33.75" customHeight="1" spans="1:8">
      <c r="A172" s="110">
        <f t="shared" si="8"/>
        <v>166</v>
      </c>
      <c r="B172" s="111" t="s">
        <v>387</v>
      </c>
      <c r="C172" s="112" t="s">
        <v>388</v>
      </c>
      <c r="D172" s="108">
        <v>3</v>
      </c>
      <c r="E172" s="108"/>
      <c r="F172" s="108"/>
      <c r="G172" s="109" t="str">
        <f t="shared" si="7"/>
        <v/>
      </c>
      <c r="H172" s="87">
        <f t="shared" si="6"/>
        <v>1</v>
      </c>
    </row>
    <row r="173" ht="33.75" customHeight="1" spans="1:8">
      <c r="A173" s="110">
        <f t="shared" si="8"/>
        <v>167</v>
      </c>
      <c r="B173" s="111" t="s">
        <v>389</v>
      </c>
      <c r="C173" s="112" t="s">
        <v>390</v>
      </c>
      <c r="D173" s="108">
        <v>3</v>
      </c>
      <c r="E173" s="113"/>
      <c r="F173" s="113"/>
      <c r="G173" s="109" t="str">
        <f t="shared" si="7"/>
        <v/>
      </c>
      <c r="H173" s="87">
        <f t="shared" si="6"/>
        <v>1</v>
      </c>
    </row>
    <row r="174" ht="33.75" customHeight="1" spans="1:8">
      <c r="A174" s="110">
        <f t="shared" si="8"/>
        <v>168</v>
      </c>
      <c r="B174" s="111" t="s">
        <v>391</v>
      </c>
      <c r="C174" s="112" t="s">
        <v>392</v>
      </c>
      <c r="D174" s="108">
        <v>3</v>
      </c>
      <c r="E174" s="113"/>
      <c r="F174" s="113"/>
      <c r="G174" s="109" t="str">
        <f t="shared" si="7"/>
        <v/>
      </c>
      <c r="H174" s="87">
        <f t="shared" si="6"/>
        <v>1</v>
      </c>
    </row>
    <row r="175" ht="33.75" customHeight="1" spans="1:8">
      <c r="A175" s="110">
        <f t="shared" si="8"/>
        <v>169</v>
      </c>
      <c r="B175" s="111" t="s">
        <v>393</v>
      </c>
      <c r="C175" s="112" t="s">
        <v>394</v>
      </c>
      <c r="D175" s="108">
        <v>3</v>
      </c>
      <c r="E175" s="108"/>
      <c r="F175" s="108"/>
      <c r="G175" s="109" t="str">
        <f t="shared" si="7"/>
        <v/>
      </c>
      <c r="H175" s="87">
        <f t="shared" si="6"/>
        <v>1</v>
      </c>
    </row>
    <row r="176" ht="33.75" customHeight="1" spans="1:8">
      <c r="A176" s="110">
        <f t="shared" si="8"/>
        <v>170</v>
      </c>
      <c r="B176" s="111" t="s">
        <v>395</v>
      </c>
      <c r="C176" s="112" t="s">
        <v>396</v>
      </c>
      <c r="D176" s="108">
        <v>2</v>
      </c>
      <c r="E176" s="113"/>
      <c r="F176" s="113"/>
      <c r="G176" s="109" t="str">
        <f t="shared" si="7"/>
        <v/>
      </c>
      <c r="H176" s="87">
        <f t="shared" si="6"/>
        <v>1</v>
      </c>
    </row>
    <row r="177" ht="33.75" customHeight="1" spans="1:8">
      <c r="A177" s="110">
        <f t="shared" si="8"/>
        <v>171</v>
      </c>
      <c r="B177" s="111" t="s">
        <v>397</v>
      </c>
      <c r="C177" s="112" t="s">
        <v>398</v>
      </c>
      <c r="D177" s="108">
        <v>2</v>
      </c>
      <c r="E177" s="113"/>
      <c r="F177" s="113"/>
      <c r="G177" s="109" t="str">
        <f t="shared" si="7"/>
        <v/>
      </c>
      <c r="H177" s="87">
        <f t="shared" si="6"/>
        <v>1</v>
      </c>
    </row>
    <row r="178" ht="33.75" customHeight="1" spans="1:8">
      <c r="A178" s="110">
        <f t="shared" si="8"/>
        <v>172</v>
      </c>
      <c r="B178" s="111" t="s">
        <v>399</v>
      </c>
      <c r="C178" s="112" t="s">
        <v>400</v>
      </c>
      <c r="D178" s="108"/>
      <c r="E178" s="108"/>
      <c r="F178" s="108">
        <v>3</v>
      </c>
      <c r="G178" s="109" t="str">
        <f t="shared" si="7"/>
        <v/>
      </c>
      <c r="H178" s="87">
        <f t="shared" si="6"/>
        <v>1</v>
      </c>
    </row>
    <row r="179" ht="33.75" customHeight="1" spans="1:8">
      <c r="A179" s="110">
        <f t="shared" si="8"/>
        <v>173</v>
      </c>
      <c r="B179" s="111" t="s">
        <v>401</v>
      </c>
      <c r="C179" s="112" t="s">
        <v>402</v>
      </c>
      <c r="D179" s="108"/>
      <c r="E179" s="113">
        <v>1</v>
      </c>
      <c r="F179" s="113"/>
      <c r="G179" s="109" t="str">
        <f t="shared" si="7"/>
        <v/>
      </c>
      <c r="H179" s="87">
        <f t="shared" ref="H179:H186" si="9">IF(AND(D179="",E179="",F179=""),"",1)</f>
        <v>1</v>
      </c>
    </row>
    <row r="180" ht="33.75" customHeight="1" spans="1:8">
      <c r="A180" s="110">
        <f t="shared" si="8"/>
        <v>174</v>
      </c>
      <c r="B180" s="111" t="s">
        <v>403</v>
      </c>
      <c r="C180" s="112" t="s">
        <v>404</v>
      </c>
      <c r="D180" s="108">
        <v>3</v>
      </c>
      <c r="E180" s="113"/>
      <c r="F180" s="113"/>
      <c r="G180" s="109" t="str">
        <f t="shared" si="7"/>
        <v/>
      </c>
      <c r="H180" s="87">
        <f t="shared" si="9"/>
        <v>1</v>
      </c>
    </row>
    <row r="181" ht="33.75" customHeight="1" spans="1:8">
      <c r="A181" s="110">
        <f t="shared" si="8"/>
        <v>175</v>
      </c>
      <c r="B181" s="111" t="s">
        <v>405</v>
      </c>
      <c r="C181" s="112" t="s">
        <v>406</v>
      </c>
      <c r="D181" s="108"/>
      <c r="E181" s="108"/>
      <c r="F181" s="108">
        <v>2</v>
      </c>
      <c r="G181" s="109" t="str">
        <f t="shared" si="7"/>
        <v/>
      </c>
      <c r="H181" s="87">
        <f t="shared" si="9"/>
        <v>1</v>
      </c>
    </row>
    <row r="182" ht="33.75" customHeight="1" spans="1:8">
      <c r="A182" s="110">
        <f t="shared" si="8"/>
        <v>176</v>
      </c>
      <c r="B182" s="111" t="s">
        <v>407</v>
      </c>
      <c r="C182" s="112" t="s">
        <v>408</v>
      </c>
      <c r="D182" s="108"/>
      <c r="E182" s="113"/>
      <c r="F182" s="113">
        <v>2</v>
      </c>
      <c r="G182" s="109" t="str">
        <f t="shared" si="7"/>
        <v/>
      </c>
      <c r="H182" s="87">
        <f t="shared" si="9"/>
        <v>1</v>
      </c>
    </row>
    <row r="183" ht="33.75" customHeight="1" spans="1:8">
      <c r="A183" s="110">
        <f t="shared" si="8"/>
        <v>177</v>
      </c>
      <c r="B183" s="111" t="s">
        <v>409</v>
      </c>
      <c r="C183" s="112" t="s">
        <v>410</v>
      </c>
      <c r="D183" s="108"/>
      <c r="E183" s="113">
        <v>1</v>
      </c>
      <c r="F183" s="113"/>
      <c r="G183" s="109" t="str">
        <f t="shared" si="7"/>
        <v/>
      </c>
      <c r="H183" s="87">
        <f t="shared" si="9"/>
        <v>1</v>
      </c>
    </row>
    <row r="184" ht="33.75" customHeight="1" spans="1:8">
      <c r="A184" s="110">
        <f t="shared" si="8"/>
        <v>178</v>
      </c>
      <c r="B184" s="111" t="s">
        <v>411</v>
      </c>
      <c r="C184" s="112" t="s">
        <v>412</v>
      </c>
      <c r="D184" s="108">
        <v>3</v>
      </c>
      <c r="E184" s="108"/>
      <c r="F184" s="108"/>
      <c r="G184" s="109" t="str">
        <f t="shared" si="7"/>
        <v/>
      </c>
      <c r="H184" s="87">
        <f t="shared" si="9"/>
        <v>1</v>
      </c>
    </row>
    <row r="185" ht="33.75" customHeight="1" spans="1:8">
      <c r="A185" s="110">
        <f t="shared" si="8"/>
        <v>179</v>
      </c>
      <c r="B185" s="111" t="s">
        <v>413</v>
      </c>
      <c r="C185" s="112" t="s">
        <v>414</v>
      </c>
      <c r="D185" s="108">
        <v>2</v>
      </c>
      <c r="E185" s="113"/>
      <c r="F185" s="113"/>
      <c r="G185" s="109" t="str">
        <f t="shared" si="7"/>
        <v/>
      </c>
      <c r="H185" s="87">
        <f t="shared" si="9"/>
        <v>1</v>
      </c>
    </row>
    <row r="186" ht="33.75" customHeight="1" spans="1:8">
      <c r="A186" s="110">
        <f t="shared" si="8"/>
        <v>180</v>
      </c>
      <c r="B186" s="111" t="s">
        <v>415</v>
      </c>
      <c r="C186" s="112" t="s">
        <v>416</v>
      </c>
      <c r="D186" s="108"/>
      <c r="E186" s="113">
        <v>1</v>
      </c>
      <c r="F186" s="113"/>
      <c r="G186" s="109" t="str">
        <f t="shared" si="7"/>
        <v/>
      </c>
      <c r="H186" s="87">
        <f t="shared" si="9"/>
        <v>1</v>
      </c>
    </row>
  </sheetData>
  <sheetProtection sheet="1" objects="1"/>
  <mergeCells count="5">
    <mergeCell ref="D4:F4"/>
    <mergeCell ref="D5:F5"/>
    <mergeCell ref="A5:A6"/>
    <mergeCell ref="B5:B6"/>
    <mergeCell ref="C5:C6"/>
  </mergeCells>
  <dataValidations count="2">
    <dataValidation type="list" allowBlank="1" showInputMessage="1" showErrorMessage="1" sqref="D7:D65536 F7:F186">
      <formula1>"3,2"</formula1>
    </dataValidation>
    <dataValidation type="list" allowBlank="1" showInputMessage="1" showErrorMessage="1" sqref="E7:E65536">
      <formula1>"1"</formula1>
    </dataValidation>
  </dataValidations>
  <printOptions horizontalCentered="1"/>
  <pageMargins left="0.15748031496063" right="0.15748031496063" top="0.393700787401575" bottom="0.393700787401575" header="0.511811023622047" footer="0.511811023622047"/>
  <pageSetup paperSize="9" scale="80" orientation="portrait"/>
  <headerFooter alignWithMargins="0"/>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81"/>
  <sheetViews>
    <sheetView showGridLines="0" topLeftCell="A22" workbookViewId="0">
      <selection activeCell="D27" sqref="D27:I27"/>
    </sheetView>
  </sheetViews>
  <sheetFormatPr defaultColWidth="0" defaultRowHeight="15.6" customHeight="1" zeroHeight="1"/>
  <cols>
    <col min="1" max="1" width="7.75" style="57" customWidth="1"/>
    <col min="2" max="2" width="7.125" style="58" customWidth="1"/>
    <col min="3" max="8" width="12.625" style="57" customWidth="1"/>
    <col min="9" max="9" width="7.875" style="57" customWidth="1"/>
    <col min="10" max="10" width="4.375" style="57" customWidth="1"/>
    <col min="11" max="11" width="8.75" style="57" customWidth="1"/>
    <col min="12" max="12" width="8.75" style="57" hidden="1" customWidth="1"/>
    <col min="13" max="13" width="8.625" style="57" hidden="1" customWidth="1"/>
    <col min="14" max="14" width="8.375" style="57" hidden="1" customWidth="1"/>
    <col min="15" max="15" width="7.25" style="57" hidden="1" customWidth="1"/>
    <col min="16" max="16" width="7.125" style="59" hidden="1" customWidth="1"/>
    <col min="17" max="18" width="7.875" style="57" hidden="1" customWidth="1"/>
    <col min="19" max="19" width="9" style="59" hidden="1" customWidth="1"/>
    <col min="20" max="16384" width="9" style="57" hidden="1"/>
  </cols>
  <sheetData>
    <row r="1" ht="27" customHeight="1"/>
    <row r="2" ht="39" customHeight="1" spans="2:44">
      <c r="B2" s="60" t="s">
        <v>417</v>
      </c>
      <c r="D2" s="4"/>
      <c r="E2" s="4"/>
      <c r="F2" s="1"/>
      <c r="M2" s="1"/>
      <c r="N2" s="1"/>
      <c r="O2" s="69" t="s">
        <v>418</v>
      </c>
      <c r="P2" s="69"/>
      <c r="Q2" s="69"/>
      <c r="R2" s="69"/>
      <c r="S2" s="77"/>
      <c r="AP2" s="61" t="s">
        <v>9</v>
      </c>
      <c r="AQ2" s="62"/>
      <c r="AR2" s="63" t="s">
        <v>10</v>
      </c>
    </row>
    <row r="3" ht="22.5" customHeight="1" spans="2:44">
      <c r="B3" s="2"/>
      <c r="C3" s="2"/>
      <c r="D3" s="4"/>
      <c r="E3" s="4"/>
      <c r="F3" s="1"/>
      <c r="M3" s="1"/>
      <c r="N3" s="1"/>
      <c r="O3" s="70"/>
      <c r="P3" s="70"/>
      <c r="Q3" s="70"/>
      <c r="R3" s="70"/>
      <c r="S3" s="77"/>
      <c r="AP3" s="61"/>
      <c r="AQ3" s="62"/>
      <c r="AR3" s="63"/>
    </row>
    <row r="4" ht="20.25" customHeight="1" spans="2:44">
      <c r="B4" s="2"/>
      <c r="C4" s="6" t="s">
        <v>419</v>
      </c>
      <c r="D4" s="6"/>
      <c r="E4" s="6"/>
      <c r="F4" s="6"/>
      <c r="G4" s="6"/>
      <c r="H4" s="6"/>
      <c r="M4" s="71"/>
      <c r="N4" s="71"/>
      <c r="O4" s="9" t="s">
        <v>420</v>
      </c>
      <c r="P4" s="72" t="s">
        <v>421</v>
      </c>
      <c r="Q4" s="10" t="s">
        <v>422</v>
      </c>
      <c r="R4" s="10" t="s">
        <v>423</v>
      </c>
      <c r="S4" s="77"/>
      <c r="AP4" s="61" t="s">
        <v>11</v>
      </c>
      <c r="AQ4" s="62"/>
      <c r="AR4" s="63" t="s">
        <v>12</v>
      </c>
    </row>
    <row r="5" ht="40.5" customHeight="1" spans="2:44">
      <c r="B5" s="2"/>
      <c r="C5" s="7" t="s">
        <v>424</v>
      </c>
      <c r="D5" s="7"/>
      <c r="E5" s="7"/>
      <c r="F5" s="7"/>
      <c r="G5" s="7"/>
      <c r="H5" s="7"/>
      <c r="M5" s="71"/>
      <c r="N5" s="71"/>
      <c r="O5" s="73"/>
      <c r="P5" s="74"/>
      <c r="Q5" s="78"/>
      <c r="R5" s="78"/>
      <c r="S5" s="77"/>
      <c r="AP5" s="61"/>
      <c r="AQ5" s="62"/>
      <c r="AR5" s="63"/>
    </row>
    <row r="6" ht="18" customHeight="1" spans="2:44">
      <c r="B6" s="2"/>
      <c r="C6" s="8"/>
      <c r="D6" s="8"/>
      <c r="E6" s="8"/>
      <c r="F6" s="8"/>
      <c r="G6" s="8"/>
      <c r="H6" s="8"/>
      <c r="M6" s="71"/>
      <c r="N6" s="71"/>
      <c r="O6" s="73"/>
      <c r="P6" s="74"/>
      <c r="Q6" s="78"/>
      <c r="R6" s="78"/>
      <c r="S6" s="77"/>
      <c r="AP6" s="61"/>
      <c r="AQ6" s="62"/>
      <c r="AR6" s="63"/>
    </row>
    <row r="7" ht="30" customHeight="1" spans="2:44">
      <c r="B7" s="2"/>
      <c r="C7" s="9" t="s">
        <v>420</v>
      </c>
      <c r="D7" s="10" t="s">
        <v>422</v>
      </c>
      <c r="E7" s="10" t="s">
        <v>423</v>
      </c>
      <c r="F7" s="9" t="s">
        <v>420</v>
      </c>
      <c r="G7" s="10" t="s">
        <v>422</v>
      </c>
      <c r="H7" s="10" t="s">
        <v>423</v>
      </c>
      <c r="M7" s="75"/>
      <c r="N7" s="75"/>
      <c r="O7" s="11">
        <v>1</v>
      </c>
      <c r="P7" s="76">
        <f t="shared" ref="P7:P24" si="0">RANK(R7,$R$7:$R$58,0)+S7</f>
        <v>10</v>
      </c>
      <c r="Q7" s="12" t="str">
        <f>sheet1!E4</f>
        <v>成就</v>
      </c>
      <c r="R7" s="13">
        <f>sheet1!E3</f>
        <v>1.42105263157895</v>
      </c>
      <c r="S7" s="77">
        <f>COUNTIF(R$7:R$58,R7)-COUNTIF(R$7:R7,R7)</f>
        <v>0</v>
      </c>
      <c r="AP7" s="61" t="s">
        <v>15</v>
      </c>
      <c r="AQ7" s="62"/>
      <c r="AR7" s="63" t="s">
        <v>16</v>
      </c>
    </row>
    <row r="8" ht="30" customHeight="1" spans="2:44">
      <c r="B8" s="2"/>
      <c r="C8" s="11">
        <v>1</v>
      </c>
      <c r="D8" s="12" t="str">
        <f t="shared" ref="D8:D24" si="1">INDEX(Q:Q,MATCH(C8,P:P,0))</f>
        <v>战略</v>
      </c>
      <c r="E8" s="13">
        <f t="shared" ref="E8:E24" si="2">INDEX(R:R,MATCH(C8,P:P,0))</f>
        <v>2.25</v>
      </c>
      <c r="F8" s="11">
        <v>18</v>
      </c>
      <c r="G8" s="12" t="str">
        <f t="shared" ref="G8:G24" si="3">INDEX(Q:Q,MATCH(F8,P:P,0))</f>
        <v>个别</v>
      </c>
      <c r="H8" s="13">
        <f t="shared" ref="H8:H24" si="4">INDEX(R:R,MATCH(F8,P:P,0))</f>
        <v>1</v>
      </c>
      <c r="M8" s="26"/>
      <c r="N8" s="26"/>
      <c r="O8" s="14">
        <v>2</v>
      </c>
      <c r="P8" s="76">
        <f t="shared" si="0"/>
        <v>32</v>
      </c>
      <c r="Q8" s="79" t="str">
        <f>sheet1!F4</f>
        <v>行动</v>
      </c>
      <c r="R8" s="80">
        <f>sheet1!F3</f>
        <v>0.555555555555556</v>
      </c>
      <c r="S8" s="77">
        <f>COUNTIF(R$7:R$58,R8)-COUNTIF(R$7:R8,R8)</f>
        <v>0</v>
      </c>
      <c r="AP8" s="61" t="s">
        <v>19</v>
      </c>
      <c r="AQ8" s="62"/>
      <c r="AR8" s="63" t="s">
        <v>20</v>
      </c>
    </row>
    <row r="9" ht="30" customHeight="1" spans="2:44">
      <c r="B9" s="2"/>
      <c r="C9" s="14">
        <v>2</v>
      </c>
      <c r="D9" s="12" t="str">
        <f t="shared" si="1"/>
        <v>思维</v>
      </c>
      <c r="E9" s="13">
        <f t="shared" si="2"/>
        <v>2.2</v>
      </c>
      <c r="F9" s="14">
        <v>19</v>
      </c>
      <c r="G9" s="12" t="str">
        <f t="shared" si="3"/>
        <v>纪律</v>
      </c>
      <c r="H9" s="13">
        <f t="shared" si="4"/>
        <v>1</v>
      </c>
      <c r="M9" s="26"/>
      <c r="N9" s="26"/>
      <c r="O9" s="14">
        <v>3</v>
      </c>
      <c r="P9" s="76">
        <f t="shared" si="0"/>
        <v>21</v>
      </c>
      <c r="Q9" s="79" t="str">
        <f>sheet1!G4</f>
        <v>适应</v>
      </c>
      <c r="R9" s="80">
        <f>sheet1!G3</f>
        <v>0.944444444444444</v>
      </c>
      <c r="S9" s="77">
        <f>COUNTIF(R$7:R$58,R9)-COUNTIF(R$7:R9,R9)</f>
        <v>0</v>
      </c>
      <c r="AP9" s="61" t="s">
        <v>23</v>
      </c>
      <c r="AQ9" s="62"/>
      <c r="AR9" s="63" t="s">
        <v>24</v>
      </c>
    </row>
    <row r="10" ht="30" customHeight="1" spans="2:44">
      <c r="B10" s="2"/>
      <c r="C10" s="14">
        <v>3</v>
      </c>
      <c r="D10" s="12" t="str">
        <f t="shared" si="1"/>
        <v>理念</v>
      </c>
      <c r="E10" s="13">
        <f t="shared" si="2"/>
        <v>2.16666666666667</v>
      </c>
      <c r="F10" s="14">
        <v>20</v>
      </c>
      <c r="G10" s="12" t="str">
        <f t="shared" si="3"/>
        <v>竞争</v>
      </c>
      <c r="H10" s="13">
        <f t="shared" si="4"/>
        <v>1</v>
      </c>
      <c r="M10" s="26"/>
      <c r="N10" s="26"/>
      <c r="O10" s="14">
        <v>4</v>
      </c>
      <c r="P10" s="76">
        <f t="shared" si="0"/>
        <v>8</v>
      </c>
      <c r="Q10" s="79" t="str">
        <f>sheet1!H4</f>
        <v>分析</v>
      </c>
      <c r="R10" s="80">
        <f>sheet1!H3</f>
        <v>1.47368421052632</v>
      </c>
      <c r="S10" s="77">
        <f>COUNTIF(R$7:R$58,R10)-COUNTIF(R$7:R10,R10)</f>
        <v>0</v>
      </c>
      <c r="AP10" s="61" t="s">
        <v>27</v>
      </c>
      <c r="AQ10" s="62"/>
      <c r="AR10" s="63" t="s">
        <v>28</v>
      </c>
    </row>
    <row r="11" ht="30" customHeight="1" spans="2:44">
      <c r="B11" s="2"/>
      <c r="C11" s="14">
        <v>4</v>
      </c>
      <c r="D11" s="12" t="str">
        <f t="shared" si="1"/>
        <v>学习</v>
      </c>
      <c r="E11" s="13">
        <f t="shared" si="2"/>
        <v>1.875</v>
      </c>
      <c r="F11" s="14">
        <v>21</v>
      </c>
      <c r="G11" s="12" t="str">
        <f t="shared" si="3"/>
        <v>适应</v>
      </c>
      <c r="H11" s="13">
        <f t="shared" si="4"/>
        <v>0.944444444444444</v>
      </c>
      <c r="M11" s="75"/>
      <c r="N11" s="75"/>
      <c r="O11" s="14">
        <v>5</v>
      </c>
      <c r="P11" s="76">
        <f t="shared" si="0"/>
        <v>7</v>
      </c>
      <c r="Q11" s="79" t="str">
        <f>sheet1!I4</f>
        <v>统筹</v>
      </c>
      <c r="R11" s="13">
        <f>sheet1!I3</f>
        <v>1.66666666666667</v>
      </c>
      <c r="S11" s="77">
        <f>COUNTIF(R$7:R$58,R11)-COUNTIF(R$7:R11,R11)</f>
        <v>0</v>
      </c>
      <c r="AP11" s="61" t="s">
        <v>31</v>
      </c>
      <c r="AQ11" s="62"/>
      <c r="AR11" s="63" t="s">
        <v>32</v>
      </c>
    </row>
    <row r="12" ht="30" customHeight="1" spans="2:44">
      <c r="B12" s="2"/>
      <c r="C12" s="14">
        <v>5</v>
      </c>
      <c r="D12" s="12" t="str">
        <f t="shared" si="1"/>
        <v>前瞻</v>
      </c>
      <c r="E12" s="13">
        <f t="shared" si="2"/>
        <v>1.75</v>
      </c>
      <c r="F12" s="14">
        <v>22</v>
      </c>
      <c r="G12" s="12" t="str">
        <f t="shared" si="3"/>
        <v>回顾</v>
      </c>
      <c r="H12" s="13">
        <f t="shared" si="4"/>
        <v>0.933333333333333</v>
      </c>
      <c r="M12" s="26"/>
      <c r="N12" s="26"/>
      <c r="O12" s="14">
        <v>6</v>
      </c>
      <c r="P12" s="76">
        <f t="shared" si="0"/>
        <v>15</v>
      </c>
      <c r="Q12" s="79" t="str">
        <f>sheet1!J4</f>
        <v>信仰</v>
      </c>
      <c r="R12" s="80">
        <f>sheet1!J3</f>
        <v>1.23529411764706</v>
      </c>
      <c r="S12" s="77">
        <f>COUNTIF(R$7:R$58,R12)-COUNTIF(R$7:R12,R12)</f>
        <v>0</v>
      </c>
      <c r="AP12" s="61" t="s">
        <v>33</v>
      </c>
      <c r="AQ12" s="62"/>
      <c r="AR12" s="63" t="s">
        <v>34</v>
      </c>
    </row>
    <row r="13" ht="30" customHeight="1" spans="2:44">
      <c r="B13" s="2"/>
      <c r="C13" s="14">
        <v>6</v>
      </c>
      <c r="D13" s="12" t="str">
        <f t="shared" si="1"/>
        <v>统率</v>
      </c>
      <c r="E13" s="13">
        <f t="shared" si="2"/>
        <v>1.73333333333333</v>
      </c>
      <c r="F13" s="14">
        <v>23</v>
      </c>
      <c r="G13" s="12" t="str">
        <f t="shared" si="3"/>
        <v>完美</v>
      </c>
      <c r="H13" s="13">
        <f t="shared" si="4"/>
        <v>0.882352941176471</v>
      </c>
      <c r="M13" s="26"/>
      <c r="N13" s="26"/>
      <c r="O13" s="14">
        <v>7</v>
      </c>
      <c r="P13" s="76">
        <f t="shared" si="0"/>
        <v>6</v>
      </c>
      <c r="Q13" s="79" t="str">
        <f>sheet1!K4</f>
        <v>统率</v>
      </c>
      <c r="R13" s="80">
        <f>sheet1!K3</f>
        <v>1.73333333333333</v>
      </c>
      <c r="S13" s="77">
        <f>COUNTIF(R$7:R$58,R13)-COUNTIF(R$7:R13,R13)</f>
        <v>0</v>
      </c>
      <c r="AP13" s="61" t="s">
        <v>35</v>
      </c>
      <c r="AQ13" s="62"/>
      <c r="AR13" s="63" t="s">
        <v>36</v>
      </c>
    </row>
    <row r="14" ht="30" customHeight="1" spans="2:44">
      <c r="B14" s="2"/>
      <c r="C14" s="14">
        <v>7</v>
      </c>
      <c r="D14" s="12" t="str">
        <f t="shared" si="1"/>
        <v>统筹</v>
      </c>
      <c r="E14" s="13">
        <f t="shared" si="2"/>
        <v>1.66666666666667</v>
      </c>
      <c r="F14" s="14">
        <v>24</v>
      </c>
      <c r="G14" s="12" t="str">
        <f t="shared" si="3"/>
        <v>搜集</v>
      </c>
      <c r="H14" s="13">
        <f t="shared" si="4"/>
        <v>0.882352941176471</v>
      </c>
      <c r="M14" s="26"/>
      <c r="N14" s="26"/>
      <c r="O14" s="14">
        <v>8</v>
      </c>
      <c r="P14" s="76">
        <f t="shared" si="0"/>
        <v>33</v>
      </c>
      <c r="Q14" s="79" t="str">
        <f>sheet1!L4</f>
        <v>沟通</v>
      </c>
      <c r="R14" s="80">
        <f>sheet1!L3</f>
        <v>0.5</v>
      </c>
      <c r="S14" s="77">
        <f>COUNTIF(R$7:R$58,R14)-COUNTIF(R$7:R14,R14)</f>
        <v>0</v>
      </c>
      <c r="AP14" s="61" t="s">
        <v>37</v>
      </c>
      <c r="AQ14" s="62"/>
      <c r="AR14" s="63" t="s">
        <v>38</v>
      </c>
    </row>
    <row r="15" ht="30" customHeight="1" spans="2:44">
      <c r="B15" s="2"/>
      <c r="C15" s="14">
        <v>8</v>
      </c>
      <c r="D15" s="12" t="str">
        <f t="shared" si="1"/>
        <v>分析</v>
      </c>
      <c r="E15" s="13">
        <f t="shared" si="2"/>
        <v>1.47368421052632</v>
      </c>
      <c r="F15" s="14">
        <v>25</v>
      </c>
      <c r="G15" s="12" t="str">
        <f t="shared" si="3"/>
        <v>公平</v>
      </c>
      <c r="H15" s="13">
        <f t="shared" si="4"/>
        <v>0.875</v>
      </c>
      <c r="M15" s="26"/>
      <c r="N15" s="26"/>
      <c r="O15" s="14">
        <v>9</v>
      </c>
      <c r="P15" s="76">
        <f t="shared" si="0"/>
        <v>20</v>
      </c>
      <c r="Q15" s="79" t="str">
        <f>sheet1!M4</f>
        <v>竞争</v>
      </c>
      <c r="R15" s="80">
        <f>sheet1!M3</f>
        <v>1</v>
      </c>
      <c r="S15" s="77">
        <f>COUNTIF(R$7:R$58,R15)-COUNTIF(R$7:R15,R15)</f>
        <v>2</v>
      </c>
      <c r="AP15" s="61" t="s">
        <v>39</v>
      </c>
      <c r="AQ15" s="62"/>
      <c r="AR15" s="63" t="s">
        <v>40</v>
      </c>
    </row>
    <row r="16" ht="30" customHeight="1" spans="2:44">
      <c r="B16" s="2"/>
      <c r="C16" s="14">
        <v>9</v>
      </c>
      <c r="D16" s="12" t="str">
        <f t="shared" si="1"/>
        <v>排难</v>
      </c>
      <c r="E16" s="13">
        <f t="shared" si="2"/>
        <v>1.4375</v>
      </c>
      <c r="F16" s="14">
        <v>26</v>
      </c>
      <c r="G16" s="12" t="str">
        <f t="shared" si="3"/>
        <v>体谅</v>
      </c>
      <c r="H16" s="13">
        <f t="shared" si="4"/>
        <v>0.8</v>
      </c>
      <c r="M16" s="26"/>
      <c r="N16" s="26"/>
      <c r="O16" s="14">
        <v>10</v>
      </c>
      <c r="P16" s="76">
        <f t="shared" si="0"/>
        <v>31</v>
      </c>
      <c r="Q16" s="79" t="str">
        <f>sheet1!N4</f>
        <v>关联</v>
      </c>
      <c r="R16" s="80">
        <f>sheet1!N3</f>
        <v>0.611111111111111</v>
      </c>
      <c r="S16" s="77">
        <f>COUNTIF(R$7:R$58,R16)-COUNTIF(R$7:R16,R16)</f>
        <v>0</v>
      </c>
      <c r="AP16" s="61" t="s">
        <v>41</v>
      </c>
      <c r="AQ16" s="62"/>
      <c r="AR16" s="63" t="s">
        <v>42</v>
      </c>
    </row>
    <row r="17" ht="30" customHeight="1" spans="2:44">
      <c r="B17" s="2"/>
      <c r="C17" s="14">
        <v>10</v>
      </c>
      <c r="D17" s="12" t="str">
        <f t="shared" si="1"/>
        <v>成就</v>
      </c>
      <c r="E17" s="13">
        <f t="shared" si="2"/>
        <v>1.42105263157895</v>
      </c>
      <c r="F17" s="14">
        <v>27</v>
      </c>
      <c r="G17" s="12" t="str">
        <f t="shared" si="3"/>
        <v>交往</v>
      </c>
      <c r="H17" s="13">
        <f t="shared" si="4"/>
        <v>0.75</v>
      </c>
      <c r="M17" s="1"/>
      <c r="N17" s="1"/>
      <c r="O17" s="14">
        <v>11</v>
      </c>
      <c r="P17" s="76">
        <f t="shared" si="0"/>
        <v>22</v>
      </c>
      <c r="Q17" s="79" t="str">
        <f>sheet1!O4</f>
        <v>回顾</v>
      </c>
      <c r="R17" s="80">
        <f>sheet1!O3</f>
        <v>0.933333333333333</v>
      </c>
      <c r="S17" s="77">
        <f>COUNTIF(R$7:R$58,R17)-COUNTIF(R$7:R17,R17)</f>
        <v>0</v>
      </c>
      <c r="AP17" s="61" t="s">
        <v>43</v>
      </c>
      <c r="AQ17" s="62"/>
      <c r="AR17" s="63" t="s">
        <v>44</v>
      </c>
    </row>
    <row r="18" ht="30" customHeight="1" spans="2:44">
      <c r="B18" s="2"/>
      <c r="C18" s="14">
        <v>11</v>
      </c>
      <c r="D18" s="12" t="str">
        <f t="shared" si="1"/>
        <v>审慎</v>
      </c>
      <c r="E18" s="13">
        <f t="shared" si="2"/>
        <v>1.4</v>
      </c>
      <c r="F18" s="14">
        <v>28</v>
      </c>
      <c r="G18" s="12" t="str">
        <f t="shared" si="3"/>
        <v>取悦</v>
      </c>
      <c r="H18" s="13">
        <f t="shared" si="4"/>
        <v>0.6875</v>
      </c>
      <c r="M18" s="1"/>
      <c r="N18" s="1"/>
      <c r="O18" s="14">
        <v>12</v>
      </c>
      <c r="P18" s="76">
        <f t="shared" si="0"/>
        <v>11</v>
      </c>
      <c r="Q18" s="79" t="str">
        <f>sheet1!P4</f>
        <v>审慎</v>
      </c>
      <c r="R18" s="80">
        <f>sheet1!P3</f>
        <v>1.4</v>
      </c>
      <c r="S18" s="77">
        <f>COUNTIF(R$7:R$58,R18)-COUNTIF(R$7:R18,R18)</f>
        <v>0</v>
      </c>
      <c r="AP18" s="61" t="s">
        <v>425</v>
      </c>
      <c r="AQ18" s="62"/>
      <c r="AR18" s="63" t="s">
        <v>426</v>
      </c>
    </row>
    <row r="19" ht="30" customHeight="1" spans="2:44">
      <c r="B19" s="2"/>
      <c r="C19" s="14">
        <v>12</v>
      </c>
      <c r="D19" s="12" t="str">
        <f t="shared" si="1"/>
        <v>责任</v>
      </c>
      <c r="E19" s="13">
        <f t="shared" si="2"/>
        <v>1.375</v>
      </c>
      <c r="F19" s="14">
        <v>29</v>
      </c>
      <c r="G19" s="12" t="str">
        <f t="shared" si="3"/>
        <v>包容</v>
      </c>
      <c r="H19" s="13">
        <f t="shared" si="4"/>
        <v>0.647058823529412</v>
      </c>
      <c r="M19" s="1"/>
      <c r="N19" s="1"/>
      <c r="O19" s="14">
        <v>13</v>
      </c>
      <c r="P19" s="76">
        <f t="shared" si="0"/>
        <v>17</v>
      </c>
      <c r="Q19" s="79" t="str">
        <f>sheet1!Q4</f>
        <v>伯乐</v>
      </c>
      <c r="R19" s="80">
        <f>sheet1!Q3</f>
        <v>1.0625</v>
      </c>
      <c r="S19" s="77">
        <f>COUNTIF(R$7:R$58,R19)-COUNTIF(R$7:R19,R19)</f>
        <v>0</v>
      </c>
      <c r="AP19" s="61" t="s">
        <v>427</v>
      </c>
      <c r="AQ19" s="62"/>
      <c r="AR19" s="63" t="s">
        <v>428</v>
      </c>
    </row>
    <row r="20" ht="30" customHeight="1" spans="2:44">
      <c r="B20" s="2"/>
      <c r="C20" s="14">
        <v>13</v>
      </c>
      <c r="D20" s="12" t="str">
        <f t="shared" si="1"/>
        <v>自信</v>
      </c>
      <c r="E20" s="13">
        <f t="shared" si="2"/>
        <v>1.35294117647059</v>
      </c>
      <c r="F20" s="14">
        <v>30</v>
      </c>
      <c r="G20" s="12" t="str">
        <f t="shared" si="3"/>
        <v>和谐</v>
      </c>
      <c r="H20" s="13">
        <f t="shared" si="4"/>
        <v>0.625</v>
      </c>
      <c r="M20" s="1"/>
      <c r="N20" s="1"/>
      <c r="O20" s="14">
        <v>14</v>
      </c>
      <c r="P20" s="76">
        <f t="shared" si="0"/>
        <v>19</v>
      </c>
      <c r="Q20" s="79" t="str">
        <f>sheet1!R4</f>
        <v>纪律</v>
      </c>
      <c r="R20" s="80">
        <f>sheet1!R3</f>
        <v>1</v>
      </c>
      <c r="S20" s="77">
        <f>COUNTIF(R$7:R$58,R20)-COUNTIF(R$7:R20,R20)</f>
        <v>1</v>
      </c>
      <c r="AP20" s="61" t="s">
        <v>429</v>
      </c>
      <c r="AQ20" s="62"/>
      <c r="AR20" s="63" t="s">
        <v>430</v>
      </c>
    </row>
    <row r="21" ht="30" customHeight="1" spans="2:44">
      <c r="B21" s="2"/>
      <c r="C21" s="14">
        <v>14</v>
      </c>
      <c r="D21" s="12" t="str">
        <f t="shared" si="1"/>
        <v>追求</v>
      </c>
      <c r="E21" s="13">
        <f t="shared" si="2"/>
        <v>1.26315789473684</v>
      </c>
      <c r="F21" s="14">
        <v>31</v>
      </c>
      <c r="G21" s="12" t="str">
        <f t="shared" si="3"/>
        <v>关联</v>
      </c>
      <c r="H21" s="13">
        <f t="shared" si="4"/>
        <v>0.611111111111111</v>
      </c>
      <c r="M21" s="1"/>
      <c r="N21" s="1"/>
      <c r="O21" s="14">
        <v>15</v>
      </c>
      <c r="P21" s="76">
        <f t="shared" si="0"/>
        <v>26</v>
      </c>
      <c r="Q21" s="79" t="str">
        <f>sheet1!S4</f>
        <v>体谅</v>
      </c>
      <c r="R21" s="80">
        <f>sheet1!S3</f>
        <v>0.8</v>
      </c>
      <c r="S21" s="77">
        <f>COUNTIF(R$7:R$58,R21)-COUNTIF(R$7:R21,R21)</f>
        <v>0</v>
      </c>
      <c r="AP21" s="61" t="s">
        <v>431</v>
      </c>
      <c r="AQ21" s="62"/>
      <c r="AR21" s="63" t="s">
        <v>432</v>
      </c>
    </row>
    <row r="22" ht="30" customHeight="1" spans="2:44">
      <c r="B22" s="2"/>
      <c r="C22" s="14">
        <v>15</v>
      </c>
      <c r="D22" s="12" t="str">
        <f t="shared" si="1"/>
        <v>信仰</v>
      </c>
      <c r="E22" s="13">
        <f t="shared" si="2"/>
        <v>1.23529411764706</v>
      </c>
      <c r="F22" s="14">
        <v>32</v>
      </c>
      <c r="G22" s="12" t="str">
        <f t="shared" si="3"/>
        <v>行动</v>
      </c>
      <c r="H22" s="13">
        <f t="shared" si="4"/>
        <v>0.555555555555556</v>
      </c>
      <c r="M22" s="1"/>
      <c r="N22" s="1"/>
      <c r="O22" s="14">
        <v>16</v>
      </c>
      <c r="P22" s="76">
        <f t="shared" si="0"/>
        <v>25</v>
      </c>
      <c r="Q22" s="79" t="str">
        <f>sheet1!T4</f>
        <v>公平</v>
      </c>
      <c r="R22" s="80">
        <f>sheet1!T3</f>
        <v>0.875</v>
      </c>
      <c r="S22" s="77">
        <f>COUNTIF(R$7:R$58,R22)-COUNTIF(R$7:R22,R22)</f>
        <v>0</v>
      </c>
      <c r="AP22" s="61" t="s">
        <v>433</v>
      </c>
      <c r="AQ22" s="62"/>
      <c r="AR22" s="63" t="s">
        <v>434</v>
      </c>
    </row>
    <row r="23" ht="30" customHeight="1" spans="2:44">
      <c r="B23" s="2"/>
      <c r="C23" s="14">
        <v>16</v>
      </c>
      <c r="D23" s="12" t="str">
        <f t="shared" si="1"/>
        <v>专注</v>
      </c>
      <c r="E23" s="13">
        <f t="shared" si="2"/>
        <v>1.125</v>
      </c>
      <c r="F23" s="14">
        <v>33</v>
      </c>
      <c r="G23" s="12" t="str">
        <f t="shared" si="3"/>
        <v>沟通</v>
      </c>
      <c r="H23" s="13">
        <f t="shared" si="4"/>
        <v>0.5</v>
      </c>
      <c r="M23" s="1"/>
      <c r="N23" s="1"/>
      <c r="O23" s="14">
        <v>17</v>
      </c>
      <c r="P23" s="76">
        <f t="shared" si="0"/>
        <v>16</v>
      </c>
      <c r="Q23" s="79" t="str">
        <f>sheet1!U4</f>
        <v>专注</v>
      </c>
      <c r="R23" s="80">
        <f>sheet1!U3</f>
        <v>1.125</v>
      </c>
      <c r="S23" s="77">
        <f>COUNTIF(R$7:R$58,R23)-COUNTIF(R$7:R23,R23)</f>
        <v>0</v>
      </c>
      <c r="AP23" s="61" t="s">
        <v>435</v>
      </c>
      <c r="AQ23" s="62"/>
      <c r="AR23" s="63" t="s">
        <v>436</v>
      </c>
    </row>
    <row r="24" ht="30" customHeight="1" spans="2:44">
      <c r="B24" s="2"/>
      <c r="C24" s="14">
        <v>17</v>
      </c>
      <c r="D24" s="12" t="str">
        <f t="shared" si="1"/>
        <v>伯乐</v>
      </c>
      <c r="E24" s="13">
        <f t="shared" si="2"/>
        <v>1.0625</v>
      </c>
      <c r="F24" s="14">
        <v>34</v>
      </c>
      <c r="G24" s="12" t="str">
        <f t="shared" si="3"/>
        <v>积极</v>
      </c>
      <c r="H24" s="13">
        <f t="shared" si="4"/>
        <v>0.3125</v>
      </c>
      <c r="M24" s="1"/>
      <c r="N24" s="1"/>
      <c r="O24" s="11">
        <v>18</v>
      </c>
      <c r="P24" s="76">
        <f t="shared" si="0"/>
        <v>5</v>
      </c>
      <c r="Q24" s="12" t="str">
        <f>sheet1!V4</f>
        <v>前瞻</v>
      </c>
      <c r="R24" s="13">
        <f>sheet1!V3</f>
        <v>1.75</v>
      </c>
      <c r="S24" s="77">
        <f>COUNTIF(R$7:R$58,R24)-COUNTIF(R$7:R24,R24)</f>
        <v>0</v>
      </c>
      <c r="AP24" s="61" t="s">
        <v>437</v>
      </c>
      <c r="AQ24" s="62"/>
      <c r="AR24" s="63" t="s">
        <v>438</v>
      </c>
    </row>
    <row r="25" ht="25.5" customHeight="1" spans="3:19">
      <c r="C25" s="61"/>
      <c r="D25" s="62"/>
      <c r="E25" s="63"/>
      <c r="O25" s="59"/>
      <c r="P25" s="57"/>
      <c r="R25" s="59"/>
      <c r="S25" s="57"/>
    </row>
    <row r="26" ht="27.75" customHeight="1" spans="1:9">
      <c r="A26" s="18">
        <f>测试题!H6</f>
        <v>180</v>
      </c>
      <c r="B26" s="64" t="str">
        <f>IF(A26&lt;180,"","由以上结果可以看出，您的优势为：")</f>
        <v>由以上结果可以看出，您的优势为：</v>
      </c>
      <c r="C26" s="65"/>
      <c r="D26" s="65"/>
      <c r="E26" s="65"/>
      <c r="F26" s="65"/>
      <c r="G26" s="65"/>
      <c r="H26" s="65"/>
      <c r="I26" s="65"/>
    </row>
    <row r="27" ht="36.75" customHeight="1" spans="2:9">
      <c r="B27" s="20">
        <f>IF(A$26&lt;180,"",B46)</f>
        <v>1</v>
      </c>
      <c r="C27" s="21" t="str">
        <f>IF(B27="","",INDEX(Q:Q,MATCH(B27,P:P,0)))</f>
        <v>战略</v>
      </c>
      <c r="D27" s="66" t="str">
        <f>IF(B27="","",INDEX(Sheet2!B:B,MATCH(C27,Sheet2!A:A,0)))</f>
        <v>战略主题较强的人足智多谋。针对不同的方案，能迅速找出相关的模式及结果。 </v>
      </c>
      <c r="E27" s="66"/>
      <c r="F27" s="66"/>
      <c r="G27" s="66"/>
      <c r="H27" s="66"/>
      <c r="I27" s="66"/>
    </row>
    <row r="28" ht="208.5" customHeight="1" spans="2:9">
      <c r="B28" s="67"/>
      <c r="C28" s="24" t="str">
        <f>IF(B27="","",INDEX(Sheet2!B:B,MATCH(C27,Sheet2!A:A,0)+1))</f>
        <v>战略主题使你能够透过日常琐碎，寻找前进的捷径。它不是一种可以教授的技能，而是一种与众不同的思维方式，一种独特的世界观。有了这种世界观，当别人被复杂的事物所迷惑时，你却能识别其中的规律。你将规律牢记在心，尝试各种不同的方案，不断问自己“如果发生这种情况会怎样？如果发生那种情况会怎样？”这些不断出现的问题帮助你预防不测。如此你便能够精确判断潜在的障碍。你看清各条路径的走向，就能进行筛选。你筛去死路。你筛去直通屏障的路线。你筛去通往混乱和迷茫的路线。你不断筛选，直到你选定一条路线-这就是你的战略。有了战略武装，你开始出击。这就是你的战略主题的运作模式：“倘若……会怎样？”筛选，出击。</v>
      </c>
      <c r="D28" s="24"/>
      <c r="E28" s="24"/>
      <c r="F28" s="24"/>
      <c r="G28" s="24"/>
      <c r="H28" s="24"/>
      <c r="I28" s="24"/>
    </row>
    <row r="29" ht="27.75" customHeight="1" spans="2:9">
      <c r="B29" s="20">
        <f>IF(A$26&lt;180,"",B47)</f>
        <v>2</v>
      </c>
      <c r="C29" s="21" t="str">
        <f>IF(B29="","",INDEX(Q:Q,MATCH(B29,P:P,0)))</f>
        <v>思维</v>
      </c>
      <c r="D29" s="66" t="str">
        <f>IF(B29="","",INDEX(Sheet2!B:B,MATCH(C29,Sheet2!A:A,0)))</f>
        <v>思维能力较强的人的最大特点是长于思考。他们勤于自省，敏于探讨。 </v>
      </c>
      <c r="E29" s="66"/>
      <c r="F29" s="66"/>
      <c r="G29" s="66"/>
      <c r="H29" s="66"/>
      <c r="I29" s="66"/>
    </row>
    <row r="30" ht="189.95" customHeight="1" spans="2:9">
      <c r="B30" s="67"/>
      <c r="C30" s="24" t="str">
        <f>IF(B29="","",INDEX(Sheet2!B:B,MATCH(C29,Sheet2!A:A,0)+1))</f>
        <v>你喜欢思考。你喜欢思想活动。你喜欢锻炼你的大脑“肌肉”，把它们四面抻扯。这种对思想活动的需求有可能是专注的，专注的焦点取决于你的其它优势。例如，你可能努力解决一个问题，或酝酿一个创意，或了解另一个人的感受。另一方面，这种思维活动很可能漫无边际。思维的主题并不一定限定你思考的具体内容。它只是说你喜欢思考。你是一个喜欢独处的人，因为这样你才能沉思冥想。你性格内向。在某种意义上，你是自己最好的伴侣，因为你扪心自问，并在自己身上测试答案。当你把自己的实际作为与你所思考的所有想法相比时，你的这种自省可能会使你略为不满。但此种自省也可能导致你关注现实问题，例如当日所发生的事件，或你准备进行的一场谈话。无论它把你引向何方，这种不停的思考是你生活中的一个固定内容。</v>
      </c>
      <c r="D30" s="24"/>
      <c r="E30" s="24"/>
      <c r="F30" s="24"/>
      <c r="G30" s="24"/>
      <c r="H30" s="24"/>
      <c r="I30" s="24"/>
    </row>
    <row r="31" ht="27.75" customHeight="1" spans="2:9">
      <c r="B31" s="20">
        <f>IF(A$26&lt;180,"",B48)</f>
        <v>3</v>
      </c>
      <c r="C31" s="21" t="str">
        <f>IF(B31="","",INDEX(Q:Q,MATCH(B31,P:P,0)))</f>
        <v>理念</v>
      </c>
      <c r="D31" s="66" t="str">
        <f>IF(B31="","",INDEX(Sheet2!B:B,MATCH(C31,Sheet2!A:A,0)))</f>
        <v>他们痴迷于各种理念，能够从貌似毫无关联的现象中找出其相互联系。 </v>
      </c>
      <c r="E31" s="66"/>
      <c r="F31" s="66"/>
      <c r="G31" s="66"/>
      <c r="H31" s="66"/>
      <c r="I31" s="66"/>
    </row>
    <row r="32" ht="189.95" customHeight="1" spans="2:9">
      <c r="B32" s="67"/>
      <c r="C32" s="24" t="str">
        <f>IF(B31="","",INDEX(Sheet2!B:B,MATCH(C31,Sheet2!A:A,0)+1))</f>
        <v>你为理念而痴迷。什幺是理念？理念就是概念，就是对大部分事件的最合理的解释。当你透过复杂的表层，发现一个精彩而简明的概念，继而解释事物的本质时，你会喜不自胜。理念是一种关联。你的头脑总在寻找关联；因此，当表面截然不同的现象被某个不起眼的纽带联系在一起时，你会感到新奇。一个理念是对习以为常的挑战的全新见解。你乐于将我们熟知的世界转一个圈，让我们从一个陌生但充满新意的角度看它。你喜爱所有这些理念。因为它们深刻。因为它们新颖。因为它们能正本清源。因为它们引发争论。因为它们怪诞。由于所有这些原因，每当你产生一个新理念时，你都为之一振。别人可能视你为锐意创新、标新立异、富于理性或聪明过人。也许这些你都是。谁能说得准呢？你确信无疑的是理念使你激动不已。而大多数日子里，这就足够了。</v>
      </c>
      <c r="D32" s="24"/>
      <c r="E32" s="24"/>
      <c r="F32" s="24"/>
      <c r="G32" s="24"/>
      <c r="H32" s="24"/>
      <c r="I32" s="24"/>
    </row>
    <row r="33" ht="27.75" customHeight="1" spans="2:9">
      <c r="B33" s="20">
        <f>IF(A$26&lt;180,"",B49)</f>
        <v>4</v>
      </c>
      <c r="C33" s="21" t="str">
        <f>IF(B33="","",INDEX(Q:Q,MATCH(B33,P:P,0)))</f>
        <v>学习</v>
      </c>
      <c r="D33" s="66" t="str">
        <f>IF(B33="","",INDEX(Sheet2!B:B,MATCH(C33,Sheet2!A:A,0)))</f>
        <v>学习能力强的人有旺盛的求知欲，渴望不断提高自我。尤其令他们激动的，是求知的过程而非结果。</v>
      </c>
      <c r="E33" s="66"/>
      <c r="F33" s="66"/>
      <c r="G33" s="66"/>
      <c r="H33" s="66"/>
      <c r="I33" s="66"/>
    </row>
    <row r="34" ht="189.95" customHeight="1" spans="2:9">
      <c r="B34" s="67"/>
      <c r="C34" s="24" t="str">
        <f>IF(B33="","",INDEX(Sheet2!B:B,MATCH(C33,Sheet2!A:A,0)+1))</f>
        <v>你热爱学习。你最感兴趣的题目取决于你的其它主题和经历。但无论是什幺题目，你总是受到学习过程的吸引。过程，而不是内容或结果，最使你兴奋。从无知到熟练的扎实而执着的进程使你精力倍增。入门的快感；初学者背诵或实践学到的内容；掌握一门新技术而日益增强的信心-这些学习的过程深深吸引着你。你对学习的激情促使你参加各种成人教程-太极拳、外语、钢琴、舞蹈或电脑培训班等等。它使你能在变动无常的环境中应付自如，无论是分配你完成一个应急项目，还是反复要求你在短时间内成为某个新题目的行家。学习主题并不一定意味着你力图成为某个专题的专家，或追求伴随某种专业或学术头衔的荣耀。相比之下，更重要的是学习的“路程”，而不是具体结果。</v>
      </c>
      <c r="D34" s="24"/>
      <c r="E34" s="24"/>
      <c r="F34" s="24"/>
      <c r="G34" s="24"/>
      <c r="H34" s="24"/>
      <c r="I34" s="24"/>
    </row>
    <row r="35" ht="27.75" customHeight="1" spans="2:9">
      <c r="B35" s="20">
        <f>IF(A$26&lt;180,"",B50)</f>
        <v>5</v>
      </c>
      <c r="C35" s="21" t="str">
        <f>IF(B35="","",INDEX(Q:Q,MATCH(B35,P:P,0)))</f>
        <v>前瞻</v>
      </c>
      <c r="D35" s="66" t="str">
        <f>IF(B35="","",INDEX(Sheet2!B:B,MATCH(C35,Sheet2!A:A,0)))</f>
        <v>对于有较强前瞻力的人而言，未来令人心潮澎湃。他们用对未来的憧憬激励周围的人。 </v>
      </c>
      <c r="E35" s="66"/>
      <c r="F35" s="66"/>
      <c r="G35" s="66"/>
      <c r="H35" s="66"/>
      <c r="I35" s="66"/>
    </row>
    <row r="36" ht="189.95" customHeight="1" spans="3:9">
      <c r="C36" s="24" t="str">
        <f>IF(B35="","",INDEX(Sheet2!B:B,MATCH(C35,Sheet2!A:A,0)+1))</f>
        <v>“如果这样，那该多好？”你是个喜欢遥望天际的人。未来使你着迷。未来如同墙壁上的投影，在你眼中维妙维肖。这幅细致入微的图画催你奋进，奔向明天。虽然未来图景的具体内容取决于你的其它优势和兴趣-更好的产品，更好的队伍，更好的生活，或更好的世界-但它将永远给你以灵感。你是一个幻想家，能看到未来的种种可能，并珍视这样的想象。当现实使你一筹莫展，而你周围的人又过于世俗时，你就会唤起对未来的憧憬，继而精力倍增，同时振奋别人。事实上，人们往往期待你描述对未来的种种遐想。他们希望看到一幅画卷，来提高他们的眼界，继而燃起激情。你能为他们描绘这幅画卷。不断实践。字斟句酌。越生动越好。人们将拥抱你所带来的希望。</v>
      </c>
      <c r="D36" s="24"/>
      <c r="E36" s="24"/>
      <c r="F36" s="24"/>
      <c r="G36" s="24"/>
      <c r="H36" s="24"/>
      <c r="I36" s="24"/>
    </row>
    <row r="37" ht="27" customHeight="1" spans="2:44">
      <c r="B37" s="2"/>
      <c r="C37" s="1"/>
      <c r="D37" s="25"/>
      <c r="E37" s="26"/>
      <c r="G37" s="1"/>
      <c r="H37" s="1"/>
      <c r="I37" s="1"/>
      <c r="J37" s="1"/>
      <c r="K37" s="1"/>
      <c r="L37" s="1"/>
      <c r="M37" s="1"/>
      <c r="N37" s="1"/>
      <c r="O37" s="14">
        <v>19</v>
      </c>
      <c r="P37" s="76">
        <f>RANK(R37,$R$7:$R$58,0)+S37</f>
        <v>30</v>
      </c>
      <c r="Q37" s="79" t="str">
        <f>sheet1!W4</f>
        <v>和谐</v>
      </c>
      <c r="R37" s="80">
        <f>sheet1!W3</f>
        <v>0.625</v>
      </c>
      <c r="S37" s="77">
        <f>COUNTIF(R$7:R$58,R37)-COUNTIF(R$7:R37,R37)</f>
        <v>0</v>
      </c>
      <c r="AP37" s="61" t="s">
        <v>439</v>
      </c>
      <c r="AQ37" s="62"/>
      <c r="AR37" s="63" t="s">
        <v>440</v>
      </c>
    </row>
    <row r="38" ht="27" customHeight="1" spans="2:44">
      <c r="B38" s="2"/>
      <c r="C38" s="1"/>
      <c r="D38" s="25"/>
      <c r="E38" s="26"/>
      <c r="G38" s="1"/>
      <c r="H38" s="1"/>
      <c r="I38" s="1"/>
      <c r="J38" s="1"/>
      <c r="K38" s="1"/>
      <c r="L38" s="1"/>
      <c r="M38" s="1"/>
      <c r="N38" s="1"/>
      <c r="O38" s="14"/>
      <c r="P38" s="76"/>
      <c r="Q38" s="79"/>
      <c r="R38" s="80"/>
      <c r="S38" s="77"/>
      <c r="AP38" s="61"/>
      <c r="AQ38" s="62"/>
      <c r="AR38" s="63"/>
    </row>
    <row r="39" ht="27" customHeight="1" spans="2:44">
      <c r="B39" s="2"/>
      <c r="C39" s="1"/>
      <c r="D39" s="25"/>
      <c r="E39" s="26"/>
      <c r="G39" s="1"/>
      <c r="H39" s="1"/>
      <c r="I39" s="1"/>
      <c r="J39" s="1"/>
      <c r="K39" s="1"/>
      <c r="L39" s="1"/>
      <c r="M39" s="1"/>
      <c r="N39" s="1"/>
      <c r="O39" s="14"/>
      <c r="P39" s="76"/>
      <c r="Q39" s="79"/>
      <c r="R39" s="80"/>
      <c r="S39" s="77"/>
      <c r="AP39" s="61"/>
      <c r="AQ39" s="62"/>
      <c r="AR39" s="63"/>
    </row>
    <row r="40" ht="27" customHeight="1" spans="2:44">
      <c r="B40" s="2"/>
      <c r="C40" s="1"/>
      <c r="D40" s="25"/>
      <c r="E40" s="26"/>
      <c r="G40" s="1"/>
      <c r="H40" s="1"/>
      <c r="I40" s="1"/>
      <c r="J40" s="1"/>
      <c r="K40" s="1"/>
      <c r="L40" s="1"/>
      <c r="M40" s="1"/>
      <c r="N40" s="1"/>
      <c r="O40" s="14"/>
      <c r="P40" s="76"/>
      <c r="Q40" s="79"/>
      <c r="R40" s="80"/>
      <c r="S40" s="77"/>
      <c r="AP40" s="61"/>
      <c r="AQ40" s="62"/>
      <c r="AR40" s="63"/>
    </row>
    <row r="41" ht="27" customHeight="1" spans="2:44">
      <c r="B41" s="2"/>
      <c r="C41" s="1"/>
      <c r="D41" s="25"/>
      <c r="E41" s="26"/>
      <c r="G41" s="1"/>
      <c r="H41" s="1"/>
      <c r="I41" s="1"/>
      <c r="J41" s="1"/>
      <c r="K41" s="1"/>
      <c r="L41" s="1"/>
      <c r="M41" s="1"/>
      <c r="N41" s="1"/>
      <c r="O41" s="14"/>
      <c r="P41" s="76"/>
      <c r="Q41" s="79"/>
      <c r="R41" s="80"/>
      <c r="S41" s="77"/>
      <c r="AP41" s="61"/>
      <c r="AQ41" s="62"/>
      <c r="AR41" s="63"/>
    </row>
    <row r="42" ht="27" hidden="1" customHeight="1" spans="2:44">
      <c r="B42" s="2"/>
      <c r="C42" s="1"/>
      <c r="D42" s="25"/>
      <c r="E42" s="26"/>
      <c r="G42" s="1"/>
      <c r="H42" s="1"/>
      <c r="I42" s="1"/>
      <c r="J42" s="1"/>
      <c r="K42" s="1"/>
      <c r="L42" s="1"/>
      <c r="M42" s="1"/>
      <c r="N42" s="1"/>
      <c r="O42" s="14"/>
      <c r="P42" s="76"/>
      <c r="Q42" s="79"/>
      <c r="R42" s="80"/>
      <c r="S42" s="77"/>
      <c r="AP42" s="61"/>
      <c r="AQ42" s="62"/>
      <c r="AR42" s="63"/>
    </row>
    <row r="43" ht="27" hidden="1" customHeight="1" spans="2:44">
      <c r="B43" s="2"/>
      <c r="C43" s="1"/>
      <c r="D43" s="25"/>
      <c r="E43" s="26"/>
      <c r="G43" s="1"/>
      <c r="H43" s="1"/>
      <c r="I43" s="1"/>
      <c r="J43" s="1"/>
      <c r="K43" s="1"/>
      <c r="L43" s="1"/>
      <c r="M43" s="1"/>
      <c r="N43" s="1"/>
      <c r="O43" s="14"/>
      <c r="P43" s="76"/>
      <c r="Q43" s="79"/>
      <c r="R43" s="80"/>
      <c r="S43" s="77"/>
      <c r="AP43" s="61"/>
      <c r="AQ43" s="62"/>
      <c r="AR43" s="63"/>
    </row>
    <row r="44" ht="27" hidden="1" customHeight="1" spans="2:44">
      <c r="B44" s="2"/>
      <c r="C44" s="1"/>
      <c r="D44" s="1"/>
      <c r="E44" s="1"/>
      <c r="M44" s="1"/>
      <c r="N44" s="1"/>
      <c r="O44" s="14">
        <v>20</v>
      </c>
      <c r="P44" s="76">
        <f t="shared" ref="P44:P58" si="5">RANK(R44,$R$7:$R$58,0)+S44</f>
        <v>3</v>
      </c>
      <c r="Q44" s="79" t="str">
        <f>sheet1!X4</f>
        <v>理念</v>
      </c>
      <c r="R44" s="80">
        <f>sheet1!X3</f>
        <v>2.16666666666667</v>
      </c>
      <c r="S44" s="77">
        <f>COUNTIF(R$7:R$58,R44)-COUNTIF(R$7:R44,R44)</f>
        <v>0</v>
      </c>
      <c r="AP44" s="61" t="s">
        <v>441</v>
      </c>
      <c r="AQ44" s="62"/>
      <c r="AR44" s="63" t="s">
        <v>442</v>
      </c>
    </row>
    <row r="45" ht="27" customHeight="1" spans="2:44">
      <c r="B45" s="68" t="s">
        <v>443</v>
      </c>
      <c r="C45" s="68"/>
      <c r="D45" s="68"/>
      <c r="E45" s="68"/>
      <c r="F45" s="68"/>
      <c r="G45" s="68"/>
      <c r="H45" s="68"/>
      <c r="I45" s="68"/>
      <c r="O45" s="14">
        <v>21</v>
      </c>
      <c r="P45" s="76">
        <f t="shared" si="5"/>
        <v>29</v>
      </c>
      <c r="Q45" s="79" t="str">
        <f>sheet1!Y4</f>
        <v>包容</v>
      </c>
      <c r="R45" s="80">
        <f>sheet1!Y3</f>
        <v>0.647058823529412</v>
      </c>
      <c r="S45" s="77">
        <f>COUNTIF(R$7:R$58,R45)-COUNTIF(R$7:R45,R45)</f>
        <v>0</v>
      </c>
      <c r="AP45" s="61" t="s">
        <v>444</v>
      </c>
      <c r="AQ45" s="62"/>
      <c r="AR45" s="63" t="s">
        <v>445</v>
      </c>
    </row>
    <row r="46" ht="27" customHeight="1" spans="2:44">
      <c r="B46" s="28">
        <v>1</v>
      </c>
      <c r="C46" s="29" t="str">
        <f t="shared" ref="C46:C79" si="6">INDEX(Q:Q,MATCH(B46,P:P,0))</f>
        <v>战略</v>
      </c>
      <c r="D46" s="30" t="str">
        <f t="shared" ref="D46:D79" si="7">INDEX(AR:AR,MATCH(C46,AP:AP,0))</f>
        <v>战略主题较强的人足智多谋。针对不同的方案，能迅速找出相关的模式及结果。</v>
      </c>
      <c r="E46" s="30"/>
      <c r="F46" s="30"/>
      <c r="G46" s="30"/>
      <c r="H46" s="30"/>
      <c r="I46" s="32"/>
      <c r="O46" s="14">
        <v>22</v>
      </c>
      <c r="P46" s="76">
        <f t="shared" si="5"/>
        <v>18</v>
      </c>
      <c r="Q46" s="79" t="str">
        <f>sheet1!Z4</f>
        <v>个别</v>
      </c>
      <c r="R46" s="80">
        <f>sheet1!Z3</f>
        <v>1</v>
      </c>
      <c r="S46" s="77">
        <f>COUNTIF(R$7:R$58,R46)-COUNTIF(R$7:R46,R46)</f>
        <v>0</v>
      </c>
      <c r="AP46" s="61" t="s">
        <v>446</v>
      </c>
      <c r="AQ46" s="62"/>
      <c r="AR46" s="63" t="s">
        <v>447</v>
      </c>
    </row>
    <row r="47" ht="27" customHeight="1" spans="2:44">
      <c r="B47" s="28">
        <v>2</v>
      </c>
      <c r="C47" s="29" t="str">
        <f t="shared" si="6"/>
        <v>思维</v>
      </c>
      <c r="D47" s="30" t="str">
        <f t="shared" si="7"/>
        <v>思维能力较强的人的最大特点是长于思考。他们勤于自省，敏于探讨。</v>
      </c>
      <c r="E47" s="30"/>
      <c r="F47" s="30"/>
      <c r="G47" s="30"/>
      <c r="H47" s="30"/>
      <c r="I47" s="32"/>
      <c r="O47" s="14">
        <v>23</v>
      </c>
      <c r="P47" s="76">
        <f t="shared" si="5"/>
        <v>24</v>
      </c>
      <c r="Q47" s="79" t="str">
        <f>sheet1!AA4</f>
        <v>搜集</v>
      </c>
      <c r="R47" s="80">
        <f>sheet1!AA3</f>
        <v>0.882352941176471</v>
      </c>
      <c r="S47" s="77">
        <f>COUNTIF(R$7:R$58,R47)-COUNTIF(R$7:R47,R47)</f>
        <v>1</v>
      </c>
      <c r="AP47" s="61" t="s">
        <v>448</v>
      </c>
      <c r="AQ47" s="62"/>
      <c r="AR47" s="63" t="s">
        <v>449</v>
      </c>
    </row>
    <row r="48" ht="27" customHeight="1" spans="2:44">
      <c r="B48" s="28">
        <v>3</v>
      </c>
      <c r="C48" s="29" t="str">
        <f t="shared" si="6"/>
        <v>理念</v>
      </c>
      <c r="D48" s="30" t="str">
        <f t="shared" si="7"/>
        <v>他们痴迷于各种理念，能够从貌似毫无关联的现象中找出其相互联系。</v>
      </c>
      <c r="E48" s="30"/>
      <c r="F48" s="30"/>
      <c r="G48" s="30"/>
      <c r="H48" s="30"/>
      <c r="I48" s="32"/>
      <c r="O48" s="14">
        <v>24</v>
      </c>
      <c r="P48" s="76">
        <f t="shared" si="5"/>
        <v>2</v>
      </c>
      <c r="Q48" s="79" t="str">
        <f>sheet1!AB4</f>
        <v>思维</v>
      </c>
      <c r="R48" s="80">
        <f>sheet1!AB3</f>
        <v>2.2</v>
      </c>
      <c r="S48" s="77">
        <f>COUNTIF(R$7:R$58,R48)-COUNTIF(R$7:R48,R48)</f>
        <v>0</v>
      </c>
      <c r="AP48" s="61" t="s">
        <v>450</v>
      </c>
      <c r="AQ48" s="62"/>
      <c r="AR48" s="63" t="s">
        <v>451</v>
      </c>
    </row>
    <row r="49" ht="27" customHeight="1" spans="2:44">
      <c r="B49" s="28">
        <v>4</v>
      </c>
      <c r="C49" s="29" t="str">
        <f t="shared" si="6"/>
        <v>学习</v>
      </c>
      <c r="D49" s="30" t="str">
        <f t="shared" si="7"/>
        <v>学习能力强的人有旺盛的求知欲，渴望不断提高自我。尤其令他们激动的，是求知的过程而非结果。</v>
      </c>
      <c r="E49" s="30"/>
      <c r="F49" s="30"/>
      <c r="G49" s="30"/>
      <c r="H49" s="30"/>
      <c r="I49" s="32"/>
      <c r="O49" s="14">
        <v>25</v>
      </c>
      <c r="P49" s="76">
        <f t="shared" si="5"/>
        <v>4</v>
      </c>
      <c r="Q49" s="79" t="str">
        <f>sheet1!AC4</f>
        <v>学习</v>
      </c>
      <c r="R49" s="80">
        <f>sheet1!AC3</f>
        <v>1.875</v>
      </c>
      <c r="S49" s="77">
        <f>COUNTIF(R$7:R$58,R49)-COUNTIF(R$7:R49,R49)</f>
        <v>0</v>
      </c>
      <c r="AP49" s="61" t="s">
        <v>452</v>
      </c>
      <c r="AQ49" s="62"/>
      <c r="AR49" s="63" t="s">
        <v>453</v>
      </c>
    </row>
    <row r="50" ht="27" customHeight="1" spans="2:44">
      <c r="B50" s="28">
        <v>5</v>
      </c>
      <c r="C50" s="29" t="str">
        <f t="shared" si="6"/>
        <v>前瞻</v>
      </c>
      <c r="D50" s="30" t="str">
        <f t="shared" si="7"/>
        <v>对于有较强前瞻力的人而言，未来令人心潮澎湃。他们用对未来的憧憬激励周围的人。</v>
      </c>
      <c r="E50" s="30"/>
      <c r="F50" s="30"/>
      <c r="G50" s="30"/>
      <c r="H50" s="30"/>
      <c r="I50" s="32"/>
      <c r="O50" s="14">
        <v>26</v>
      </c>
      <c r="P50" s="76">
        <f t="shared" si="5"/>
        <v>23</v>
      </c>
      <c r="Q50" s="79" t="str">
        <f>sheet1!AD4</f>
        <v>完美</v>
      </c>
      <c r="R50" s="80">
        <f>sheet1!AD3</f>
        <v>0.882352941176471</v>
      </c>
      <c r="S50" s="77">
        <f>COUNTIF(R$7:R$58,R50)-COUNTIF(R$7:R50,R50)</f>
        <v>0</v>
      </c>
      <c r="AP50" s="61" t="s">
        <v>454</v>
      </c>
      <c r="AQ50" s="62"/>
      <c r="AR50" s="63" t="s">
        <v>455</v>
      </c>
    </row>
    <row r="51" ht="27" customHeight="1" spans="2:44">
      <c r="B51" s="28">
        <v>6</v>
      </c>
      <c r="C51" s="29" t="str">
        <f t="shared" si="6"/>
        <v>统率</v>
      </c>
      <c r="D51" s="30" t="str">
        <f t="shared" si="7"/>
        <v>统率力强的人有大将风度。他们运筹帷幄，指挥若定。</v>
      </c>
      <c r="E51" s="30"/>
      <c r="F51" s="30"/>
      <c r="G51" s="30"/>
      <c r="H51" s="30"/>
      <c r="I51" s="32"/>
      <c r="O51" s="14">
        <v>27</v>
      </c>
      <c r="P51" s="76">
        <f t="shared" si="5"/>
        <v>34</v>
      </c>
      <c r="Q51" s="79" t="str">
        <f>sheet1!AE4</f>
        <v>积极</v>
      </c>
      <c r="R51" s="80">
        <f>sheet1!AE3</f>
        <v>0.3125</v>
      </c>
      <c r="S51" s="77">
        <f>COUNTIF(R$7:R$58,R51)-COUNTIF(R$7:R51,R51)</f>
        <v>0</v>
      </c>
      <c r="AP51" s="61" t="s">
        <v>456</v>
      </c>
      <c r="AQ51" s="62"/>
      <c r="AR51" s="63" t="s">
        <v>457</v>
      </c>
    </row>
    <row r="52" ht="27" customHeight="1" spans="2:44">
      <c r="B52" s="28">
        <v>7</v>
      </c>
      <c r="C52" s="29" t="str">
        <f t="shared" si="6"/>
        <v>统筹</v>
      </c>
      <c r="D52" s="30" t="str">
        <f t="shared" si="7"/>
        <v>统筹力强的人兼具组织能力及确保组织成功的灵活性。他们善于合理安排现有资源以实现最大功效。</v>
      </c>
      <c r="E52" s="30"/>
      <c r="F52" s="30"/>
      <c r="G52" s="30"/>
      <c r="H52" s="30"/>
      <c r="I52" s="32"/>
      <c r="O52" s="14">
        <v>28</v>
      </c>
      <c r="P52" s="76">
        <f t="shared" si="5"/>
        <v>27</v>
      </c>
      <c r="Q52" s="79" t="str">
        <f>sheet1!AF4</f>
        <v>交往</v>
      </c>
      <c r="R52" s="80">
        <f>sheet1!AF3</f>
        <v>0.75</v>
      </c>
      <c r="S52" s="77">
        <f>COUNTIF(R$7:R$58,R52)-COUNTIF(R$7:R52,R52)</f>
        <v>0</v>
      </c>
      <c r="AP52" s="61" t="s">
        <v>458</v>
      </c>
      <c r="AQ52" s="62"/>
      <c r="AR52" s="63" t="s">
        <v>459</v>
      </c>
    </row>
    <row r="53" ht="27" customHeight="1" spans="2:44">
      <c r="B53" s="28">
        <v>8</v>
      </c>
      <c r="C53" s="29" t="str">
        <f t="shared" si="6"/>
        <v>分析</v>
      </c>
      <c r="D53" s="30" t="str">
        <f t="shared" si="7"/>
        <v>分析能力强的人喜欢探究事物的来龙去脉。他们有能力思考可能影响局面的诸多因素。</v>
      </c>
      <c r="E53" s="30"/>
      <c r="F53" s="30"/>
      <c r="G53" s="30"/>
      <c r="H53" s="30"/>
      <c r="I53" s="32"/>
      <c r="O53" s="14">
        <v>29</v>
      </c>
      <c r="P53" s="76">
        <f t="shared" si="5"/>
        <v>12</v>
      </c>
      <c r="Q53" s="79" t="str">
        <f>sheet1!AG4</f>
        <v>责任</v>
      </c>
      <c r="R53" s="80">
        <f>sheet1!AG3</f>
        <v>1.375</v>
      </c>
      <c r="S53" s="77">
        <f>COUNTIF(R$7:R$58,R53)-COUNTIF(R$7:R53,R53)</f>
        <v>0</v>
      </c>
      <c r="AP53" s="61" t="s">
        <v>460</v>
      </c>
      <c r="AQ53" s="62"/>
      <c r="AR53" s="63" t="s">
        <v>461</v>
      </c>
    </row>
    <row r="54" ht="27" customHeight="1" spans="2:44">
      <c r="B54" s="28">
        <v>9</v>
      </c>
      <c r="C54" s="29" t="str">
        <f t="shared" si="6"/>
        <v>排难</v>
      </c>
      <c r="D54" s="30" t="str">
        <f t="shared" si="7"/>
        <v>排除故障的行家里手善于发现问题并解决问题。</v>
      </c>
      <c r="E54" s="30"/>
      <c r="F54" s="30"/>
      <c r="G54" s="30"/>
      <c r="H54" s="30"/>
      <c r="I54" s="32"/>
      <c r="O54" s="14">
        <v>30</v>
      </c>
      <c r="P54" s="76">
        <f t="shared" si="5"/>
        <v>9</v>
      </c>
      <c r="Q54" s="79" t="str">
        <f>sheet1!AH4</f>
        <v>排难</v>
      </c>
      <c r="R54" s="80">
        <f>sheet1!AH3</f>
        <v>1.4375</v>
      </c>
      <c r="S54" s="77">
        <f>COUNTIF(R$7:R$58,R54)-COUNTIF(R$7:R54,R54)</f>
        <v>0</v>
      </c>
      <c r="AP54" s="61" t="s">
        <v>462</v>
      </c>
      <c r="AQ54" s="62"/>
      <c r="AR54" s="63" t="s">
        <v>463</v>
      </c>
    </row>
    <row r="55" ht="27" customHeight="1" spans="2:44">
      <c r="B55" s="28">
        <v>10</v>
      </c>
      <c r="C55" s="29" t="str">
        <f t="shared" si="6"/>
        <v>成就</v>
      </c>
      <c r="D55" s="30" t="str">
        <f t="shared" si="7"/>
        <v>成就主题较强的人大都精力充沛，锲而不舍。他们乐于忙忙碌碌并有所作为。</v>
      </c>
      <c r="E55" s="30"/>
      <c r="F55" s="30"/>
      <c r="G55" s="30"/>
      <c r="H55" s="30"/>
      <c r="I55" s="32"/>
      <c r="O55" s="14">
        <v>31</v>
      </c>
      <c r="P55" s="76">
        <f t="shared" si="5"/>
        <v>13</v>
      </c>
      <c r="Q55" s="79" t="str">
        <f>sheet1!AI4</f>
        <v>自信</v>
      </c>
      <c r="R55" s="80">
        <f>sheet1!AI3</f>
        <v>1.35294117647059</v>
      </c>
      <c r="S55" s="77">
        <f>COUNTIF(R$7:R$58,R55)-COUNTIF(R$7:R55,R55)</f>
        <v>0</v>
      </c>
      <c r="AP55" s="61" t="s">
        <v>464</v>
      </c>
      <c r="AQ55" s="62"/>
      <c r="AR55" s="63" t="s">
        <v>465</v>
      </c>
    </row>
    <row r="56" ht="27" customHeight="1" spans="2:44">
      <c r="B56" s="28">
        <v>11</v>
      </c>
      <c r="C56" s="29" t="str">
        <f t="shared" si="6"/>
        <v>审慎</v>
      </c>
      <c r="D56" s="30" t="str">
        <f t="shared" si="7"/>
        <v>他们每做一个决定均慎之又慎，并设想所有的困难。</v>
      </c>
      <c r="E56" s="30"/>
      <c r="F56" s="30"/>
      <c r="G56" s="30"/>
      <c r="H56" s="30"/>
      <c r="I56" s="32"/>
      <c r="O56" s="14">
        <v>32</v>
      </c>
      <c r="P56" s="76">
        <f t="shared" si="5"/>
        <v>14</v>
      </c>
      <c r="Q56" s="79" t="str">
        <f>sheet1!AJ4</f>
        <v>追求</v>
      </c>
      <c r="R56" s="80">
        <f>sheet1!AJ3</f>
        <v>1.26315789473684</v>
      </c>
      <c r="S56" s="77">
        <f>COUNTIF(R$7:R$58,R56)-COUNTIF(R$7:R56,R56)</f>
        <v>0</v>
      </c>
      <c r="AP56" s="61" t="s">
        <v>466</v>
      </c>
      <c r="AQ56" s="62"/>
      <c r="AR56" s="63" t="s">
        <v>467</v>
      </c>
    </row>
    <row r="57" ht="27" customHeight="1" spans="2:44">
      <c r="B57" s="28">
        <v>12</v>
      </c>
      <c r="C57" s="29" t="str">
        <f t="shared" si="6"/>
        <v>责任</v>
      </c>
      <c r="D57" s="30" t="str">
        <f t="shared" si="7"/>
        <v>责任心强的人言必有信。他们信奉的价值观是诚实、忠诚。</v>
      </c>
      <c r="E57" s="30"/>
      <c r="F57" s="30"/>
      <c r="G57" s="30"/>
      <c r="H57" s="30"/>
      <c r="I57" s="32"/>
      <c r="O57" s="14">
        <v>33</v>
      </c>
      <c r="P57" s="76">
        <f t="shared" si="5"/>
        <v>1</v>
      </c>
      <c r="Q57" s="79" t="str">
        <f>sheet1!AK4</f>
        <v>战略</v>
      </c>
      <c r="R57" s="80">
        <f>sheet1!AK3</f>
        <v>2.25</v>
      </c>
      <c r="S57" s="77">
        <f>COUNTIF(R$7:R$58,R57)-COUNTIF(R$7:R57,R57)</f>
        <v>0</v>
      </c>
      <c r="AP57" s="61" t="s">
        <v>468</v>
      </c>
      <c r="AQ57" s="62"/>
      <c r="AR57" s="63" t="s">
        <v>469</v>
      </c>
    </row>
    <row r="58" ht="27" customHeight="1" spans="2:44">
      <c r="B58" s="28">
        <v>13</v>
      </c>
      <c r="C58" s="29" t="str">
        <f t="shared" si="6"/>
        <v>自信</v>
      </c>
      <c r="D58" s="30" t="str">
        <f t="shared" si="7"/>
        <v>自信心强的人对自身的能力充满信心。他们有自己的处世准则，做决定时成竹在胸。</v>
      </c>
      <c r="E58" s="30"/>
      <c r="F58" s="30"/>
      <c r="G58" s="30"/>
      <c r="H58" s="30"/>
      <c r="I58" s="32"/>
      <c r="O58" s="14">
        <v>34</v>
      </c>
      <c r="P58" s="76">
        <f t="shared" si="5"/>
        <v>28</v>
      </c>
      <c r="Q58" s="79" t="str">
        <f>sheet1!AL4</f>
        <v>取悦</v>
      </c>
      <c r="R58" s="80">
        <f>sheet1!AL3</f>
        <v>0.6875</v>
      </c>
      <c r="S58" s="77">
        <f>COUNTIF(R$7:R$58,R58)-COUNTIF(R$7:R58,R58)</f>
        <v>0</v>
      </c>
      <c r="AP58" s="61" t="s">
        <v>470</v>
      </c>
      <c r="AQ58" s="62"/>
      <c r="AR58" s="63" t="s">
        <v>471</v>
      </c>
    </row>
    <row r="59" ht="27" customHeight="1" spans="2:19">
      <c r="B59" s="28">
        <v>14</v>
      </c>
      <c r="C59" s="29" t="str">
        <f t="shared" si="6"/>
        <v>追求</v>
      </c>
      <c r="D59" s="30" t="str">
        <f t="shared" si="7"/>
        <v>追求主题较强的人希望在别人的眼中非同凡响。他们独立性强，渴望被承认。</v>
      </c>
      <c r="E59" s="30"/>
      <c r="F59" s="30"/>
      <c r="G59" s="30"/>
      <c r="H59" s="30"/>
      <c r="I59" s="32"/>
      <c r="O59" s="59"/>
      <c r="P59" s="57"/>
      <c r="R59" s="59"/>
      <c r="S59" s="57"/>
    </row>
    <row r="60" ht="27" customHeight="1" spans="2:19">
      <c r="B60" s="28">
        <v>15</v>
      </c>
      <c r="C60" s="29" t="str">
        <f t="shared" si="6"/>
        <v>信仰</v>
      </c>
      <c r="D60" s="30" t="str">
        <f t="shared" si="7"/>
        <v>有强烈信仰的人必定拥有某种经久不变的核心价值观，并由此形成明确的生活目标。</v>
      </c>
      <c r="E60" s="30"/>
      <c r="F60" s="30"/>
      <c r="G60" s="30"/>
      <c r="H60" s="30"/>
      <c r="I60" s="32"/>
      <c r="O60" s="59"/>
      <c r="P60" s="57"/>
      <c r="R60" s="59"/>
      <c r="S60" s="57"/>
    </row>
    <row r="61" ht="27" customHeight="1" spans="2:19">
      <c r="B61" s="28">
        <v>16</v>
      </c>
      <c r="C61" s="29" t="str">
        <f t="shared" si="6"/>
        <v>专注</v>
      </c>
      <c r="D61" s="30" t="str">
        <f t="shared" si="7"/>
        <v>专注力强的人能够确定方向，贯彻始终，及时调整，矢志不渝。他们先确定重点，再着手行动。</v>
      </c>
      <c r="E61" s="30"/>
      <c r="F61" s="30"/>
      <c r="G61" s="30"/>
      <c r="H61" s="30"/>
      <c r="I61" s="32"/>
      <c r="O61" s="59"/>
      <c r="P61" s="57"/>
      <c r="R61" s="59"/>
      <c r="S61" s="57"/>
    </row>
    <row r="62" ht="27" customHeight="1" spans="2:19">
      <c r="B62" s="28">
        <v>17</v>
      </c>
      <c r="C62" s="29" t="str">
        <f t="shared" si="6"/>
        <v>伯乐</v>
      </c>
      <c r="D62" s="30" t="str">
        <f t="shared" si="7"/>
        <v>他们善于赏识并发掘他人的潜能。他们能够察觉任何细微的进步，并乐在其中。</v>
      </c>
      <c r="E62" s="30"/>
      <c r="F62" s="30"/>
      <c r="G62" s="30"/>
      <c r="H62" s="30"/>
      <c r="I62" s="32"/>
      <c r="O62" s="59"/>
      <c r="P62" s="57"/>
      <c r="R62" s="59"/>
      <c r="S62" s="57"/>
    </row>
    <row r="63" ht="27" customHeight="1" spans="2:19">
      <c r="B63" s="28">
        <v>18</v>
      </c>
      <c r="C63" s="29" t="str">
        <f t="shared" si="6"/>
        <v>个别</v>
      </c>
      <c r="D63" s="30" t="str">
        <f t="shared" si="7"/>
        <v>个别主题较强的人对每个人的与众不同之处兴趣盎然。他们善于琢磨如何将个性迥异的人组合在一起，创造出最大成效。</v>
      </c>
      <c r="E63" s="30"/>
      <c r="F63" s="30"/>
      <c r="G63" s="30"/>
      <c r="H63" s="30"/>
      <c r="I63" s="32"/>
      <c r="O63" s="59"/>
      <c r="P63" s="57"/>
      <c r="R63" s="59"/>
      <c r="S63" s="57"/>
    </row>
    <row r="64" ht="27" customHeight="1" spans="2:19">
      <c r="B64" s="28">
        <v>19</v>
      </c>
      <c r="C64" s="29" t="str">
        <f t="shared" si="6"/>
        <v>纪律</v>
      </c>
      <c r="D64" s="30" t="str">
        <f t="shared" si="7"/>
        <v>纪律性强的人做事井然有序，有章有法。他们建立规程，遵章守纪。</v>
      </c>
      <c r="E64" s="30"/>
      <c r="F64" s="30"/>
      <c r="G64" s="30"/>
      <c r="H64" s="30"/>
      <c r="I64" s="32"/>
      <c r="O64" s="59"/>
      <c r="P64" s="57"/>
      <c r="R64" s="59"/>
      <c r="S64" s="57"/>
    </row>
    <row r="65" ht="27" customHeight="1" spans="2:19">
      <c r="B65" s="28">
        <v>20</v>
      </c>
      <c r="C65" s="29" t="str">
        <f t="shared" si="6"/>
        <v>竞争</v>
      </c>
      <c r="D65" s="30" t="str">
        <f t="shared" si="7"/>
        <v>竞争性强的人参照他人的表现来衡量自身的进步。他们力争第一，陶醉于竞争的喜悦中。</v>
      </c>
      <c r="E65" s="30"/>
      <c r="F65" s="30"/>
      <c r="G65" s="30"/>
      <c r="H65" s="30"/>
      <c r="I65" s="32"/>
      <c r="O65" s="59"/>
      <c r="P65" s="57"/>
      <c r="R65" s="59"/>
      <c r="S65" s="57"/>
    </row>
    <row r="66" ht="27" customHeight="1" spans="2:19">
      <c r="B66" s="28">
        <v>21</v>
      </c>
      <c r="C66" s="29" t="str">
        <f t="shared" si="6"/>
        <v>适应</v>
      </c>
      <c r="D66" s="30" t="str">
        <f t="shared" si="7"/>
        <v>适应性强的人倾向于“随大流”。他们活在“当前”，接受现实，随遇而安。</v>
      </c>
      <c r="E66" s="30"/>
      <c r="F66" s="30"/>
      <c r="G66" s="30"/>
      <c r="H66" s="30"/>
      <c r="I66" s="32"/>
      <c r="O66" s="59"/>
      <c r="P66" s="57"/>
      <c r="R66" s="59"/>
      <c r="S66" s="57"/>
    </row>
    <row r="67" ht="27" customHeight="1" spans="2:19">
      <c r="B67" s="28">
        <v>22</v>
      </c>
      <c r="C67" s="29" t="str">
        <f t="shared" si="6"/>
        <v>回顾</v>
      </c>
      <c r="D67" s="30" t="str">
        <f t="shared" si="7"/>
        <v>回顾主题较强的人喜欢追溯从前。他们通过揣摩过去来了解当前。</v>
      </c>
      <c r="E67" s="30"/>
      <c r="F67" s="30"/>
      <c r="G67" s="30"/>
      <c r="H67" s="30"/>
      <c r="I67" s="32"/>
      <c r="O67" s="59"/>
      <c r="P67" s="57"/>
      <c r="R67" s="59"/>
      <c r="S67" s="57"/>
    </row>
    <row r="68" ht="27" customHeight="1" spans="2:19">
      <c r="B68" s="28">
        <v>23</v>
      </c>
      <c r="C68" s="29" t="str">
        <f t="shared" si="6"/>
        <v>完美</v>
      </c>
      <c r="D68" s="30" t="str">
        <f t="shared" si="7"/>
        <v>完美主题较强的人专注于激励个人和团体追求卓越。他们相信强中自有强中手。</v>
      </c>
      <c r="E68" s="30"/>
      <c r="F68" s="30"/>
      <c r="G68" s="30"/>
      <c r="H68" s="30"/>
      <c r="I68" s="32"/>
      <c r="O68" s="59"/>
      <c r="P68" s="57"/>
      <c r="R68" s="59"/>
      <c r="S68" s="57"/>
    </row>
    <row r="69" ht="27" customHeight="1" spans="2:19">
      <c r="B69" s="28">
        <v>24</v>
      </c>
      <c r="C69" s="29" t="str">
        <f t="shared" si="6"/>
        <v>搜集</v>
      </c>
      <c r="D69" s="30" t="str">
        <f t="shared" si="7"/>
        <v>搜集主题较强的人充满好奇。他们通常喜欢搜集、整理各种各样的信息。</v>
      </c>
      <c r="E69" s="30"/>
      <c r="F69" s="30"/>
      <c r="G69" s="30"/>
      <c r="H69" s="30"/>
      <c r="I69" s="32"/>
      <c r="O69" s="59"/>
      <c r="P69" s="57"/>
      <c r="R69" s="59"/>
      <c r="S69" s="57"/>
    </row>
    <row r="70" ht="27" customHeight="1" spans="2:19">
      <c r="B70" s="28">
        <v>25</v>
      </c>
      <c r="C70" s="29" t="str">
        <f t="shared" si="6"/>
        <v>公平</v>
      </c>
      <c r="D70" s="30" t="str">
        <f t="shared" si="7"/>
        <v>公平心强的人深知应平等待人。他们确立并坚持这一准则，即公平地对待每一个人。</v>
      </c>
      <c r="E70" s="30"/>
      <c r="F70" s="30"/>
      <c r="G70" s="30"/>
      <c r="H70" s="30"/>
      <c r="I70" s="32"/>
      <c r="O70" s="59"/>
      <c r="P70" s="57"/>
      <c r="R70" s="59"/>
      <c r="S70" s="57"/>
    </row>
    <row r="71" ht="27" customHeight="1" spans="2:19">
      <c r="B71" s="28">
        <v>26</v>
      </c>
      <c r="C71" s="29" t="str">
        <f t="shared" si="6"/>
        <v>体谅</v>
      </c>
      <c r="D71" s="30" t="str">
        <f t="shared" si="7"/>
        <v>他们能够设身处地地体会他人的情感。</v>
      </c>
      <c r="E71" s="30"/>
      <c r="F71" s="30"/>
      <c r="G71" s="30"/>
      <c r="H71" s="30"/>
      <c r="I71" s="32"/>
      <c r="O71" s="59"/>
      <c r="P71" s="57"/>
      <c r="R71" s="59"/>
      <c r="S71" s="57"/>
    </row>
    <row r="72" ht="27" customHeight="1" spans="2:19">
      <c r="B72" s="28">
        <v>27</v>
      </c>
      <c r="C72" s="29" t="str">
        <f t="shared" si="6"/>
        <v>交往</v>
      </c>
      <c r="D72" s="30" t="str">
        <f t="shared" si="7"/>
        <v>交往能力强的人喜欢人际间的亲密关系。他们最大的满足是与朋友一道为实现一个目标而同舟共济。</v>
      </c>
      <c r="E72" s="30"/>
      <c r="F72" s="30"/>
      <c r="G72" s="30"/>
      <c r="H72" s="30"/>
      <c r="I72" s="32"/>
      <c r="O72" s="59"/>
      <c r="P72" s="57"/>
      <c r="R72" s="59"/>
      <c r="S72" s="57"/>
    </row>
    <row r="73" ht="27" customHeight="1" spans="2:19">
      <c r="B73" s="28">
        <v>28</v>
      </c>
      <c r="C73" s="29" t="str">
        <f t="shared" si="6"/>
        <v>取悦</v>
      </c>
      <c r="D73" s="30" t="str">
        <f t="shared" si="7"/>
        <v>取悦主题较强的人喜欢结交新人并博取其欢心。能够在人际交往中打破坚冰、建立联系令他们倍感快慰。</v>
      </c>
      <c r="E73" s="30"/>
      <c r="F73" s="30"/>
      <c r="G73" s="30"/>
      <c r="H73" s="30"/>
      <c r="I73" s="32"/>
      <c r="O73" s="59"/>
      <c r="P73" s="57"/>
      <c r="R73" s="59"/>
      <c r="S73" s="57"/>
    </row>
    <row r="74" ht="27" customHeight="1" spans="2:19">
      <c r="B74" s="28">
        <v>29</v>
      </c>
      <c r="C74" s="29" t="str">
        <f t="shared" si="6"/>
        <v>包容</v>
      </c>
      <c r="D74" s="30" t="str">
        <f t="shared" si="7"/>
        <v>包容力强的人善于接纳人。他们关心那些被忽略的人们，并让他们溶入集体。</v>
      </c>
      <c r="E74" s="30"/>
      <c r="F74" s="30"/>
      <c r="G74" s="30"/>
      <c r="H74" s="30"/>
      <c r="I74" s="32"/>
      <c r="O74" s="59"/>
      <c r="P74" s="57"/>
      <c r="R74" s="59"/>
      <c r="S74" s="57"/>
    </row>
    <row r="75" ht="27" customHeight="1" spans="2:19">
      <c r="B75" s="28">
        <v>30</v>
      </c>
      <c r="C75" s="29" t="str">
        <f t="shared" si="6"/>
        <v>和谐</v>
      </c>
      <c r="D75" s="30" t="str">
        <f t="shared" si="7"/>
        <v>和谐主题较强的人渴求协调一致。他们避免冲突，寻求共识。</v>
      </c>
      <c r="E75" s="30"/>
      <c r="F75" s="30"/>
      <c r="G75" s="30"/>
      <c r="H75" s="30"/>
      <c r="I75" s="32"/>
      <c r="O75" s="59"/>
      <c r="P75" s="57"/>
      <c r="R75" s="59"/>
      <c r="S75" s="57"/>
    </row>
    <row r="76" ht="27" customHeight="1" spans="2:19">
      <c r="B76" s="28">
        <v>31</v>
      </c>
      <c r="C76" s="29" t="str">
        <f t="shared" si="6"/>
        <v>关联</v>
      </c>
      <c r="D76" s="30" t="str">
        <f t="shared" si="7"/>
        <v>关联主题较强的人深信世间万物都彼此关联。没有巧合，凡事必有成因。</v>
      </c>
      <c r="E76" s="30"/>
      <c r="F76" s="30"/>
      <c r="G76" s="30"/>
      <c r="H76" s="30"/>
      <c r="I76" s="32"/>
      <c r="O76" s="59"/>
      <c r="P76" s="57"/>
      <c r="R76" s="59"/>
      <c r="S76" s="57"/>
    </row>
    <row r="77" ht="27" customHeight="1" spans="2:19">
      <c r="B77" s="28">
        <v>32</v>
      </c>
      <c r="C77" s="29" t="str">
        <f t="shared" si="6"/>
        <v>行动</v>
      </c>
      <c r="D77" s="30" t="str">
        <f t="shared" si="7"/>
        <v>行动主题较强的人能够将想法付诸行动。他们往往缺乏耐心。</v>
      </c>
      <c r="E77" s="30"/>
      <c r="F77" s="30"/>
      <c r="G77" s="30"/>
      <c r="H77" s="30"/>
      <c r="I77" s="32"/>
      <c r="O77" s="59"/>
      <c r="P77" s="57"/>
      <c r="R77" s="59"/>
      <c r="S77" s="57"/>
    </row>
    <row r="78" ht="27" customHeight="1" spans="2:19">
      <c r="B78" s="28">
        <v>33</v>
      </c>
      <c r="C78" s="29" t="str">
        <f t="shared" si="6"/>
        <v>沟通</v>
      </c>
      <c r="D78" s="30" t="str">
        <f t="shared" si="7"/>
        <v>沟通能力强的人善于将想法付诸言辞，他们是极佳的交谈者和生动的讲解者。</v>
      </c>
      <c r="E78" s="30"/>
      <c r="F78" s="30"/>
      <c r="G78" s="30"/>
      <c r="H78" s="30"/>
      <c r="I78" s="32"/>
      <c r="O78" s="59"/>
      <c r="P78" s="57"/>
      <c r="R78" s="59"/>
      <c r="S78" s="57"/>
    </row>
    <row r="79" ht="27" customHeight="1" spans="2:19">
      <c r="B79" s="28">
        <v>34</v>
      </c>
      <c r="C79" s="29" t="str">
        <f t="shared" si="6"/>
        <v>积极</v>
      </c>
      <c r="D79" s="30" t="str">
        <f t="shared" si="7"/>
        <v>积极的人浑身充满了富有感染力的热情。他们用快乐、向上来感召周围的人。</v>
      </c>
      <c r="E79" s="30"/>
      <c r="F79" s="30"/>
      <c r="G79" s="30"/>
      <c r="H79" s="30"/>
      <c r="I79" s="32"/>
      <c r="O79" s="59"/>
      <c r="P79" s="57"/>
      <c r="R79" s="59"/>
      <c r="S79" s="57"/>
    </row>
    <row r="80" ht="27.75" customHeight="1"/>
    <row r="81" ht="27.75" customHeight="1"/>
  </sheetData>
  <sheetProtection password="C64F" sheet="1" objects="1" scenarios="1"/>
  <mergeCells count="47">
    <mergeCell ref="O2:R2"/>
    <mergeCell ref="C5:H5"/>
    <mergeCell ref="D27:I27"/>
    <mergeCell ref="C28:I28"/>
    <mergeCell ref="D29:I29"/>
    <mergeCell ref="C30:I30"/>
    <mergeCell ref="D31:I31"/>
    <mergeCell ref="C32:I32"/>
    <mergeCell ref="D33:I33"/>
    <mergeCell ref="C34:I34"/>
    <mergeCell ref="D35:I35"/>
    <mergeCell ref="C36:I36"/>
    <mergeCell ref="B45:I45"/>
    <mergeCell ref="D46:I46"/>
    <mergeCell ref="D47:I47"/>
    <mergeCell ref="D48:I48"/>
    <mergeCell ref="D49:I49"/>
    <mergeCell ref="D50:I50"/>
    <mergeCell ref="D51:I51"/>
    <mergeCell ref="D52:I52"/>
    <mergeCell ref="D53:I53"/>
    <mergeCell ref="D54:I54"/>
    <mergeCell ref="D55:I55"/>
    <mergeCell ref="D56:I56"/>
    <mergeCell ref="D57:I57"/>
    <mergeCell ref="D58:I58"/>
    <mergeCell ref="D59:I59"/>
    <mergeCell ref="D60:I60"/>
    <mergeCell ref="D61:I61"/>
    <mergeCell ref="D62:I62"/>
    <mergeCell ref="D63:I63"/>
    <mergeCell ref="D64:I64"/>
    <mergeCell ref="D65:I65"/>
    <mergeCell ref="D66:I66"/>
    <mergeCell ref="D67:I67"/>
    <mergeCell ref="D68:I68"/>
    <mergeCell ref="D69:I69"/>
    <mergeCell ref="D70:I70"/>
    <mergeCell ref="D71:I71"/>
    <mergeCell ref="D72:I72"/>
    <mergeCell ref="D73:I73"/>
    <mergeCell ref="D74:I74"/>
    <mergeCell ref="D75:I75"/>
    <mergeCell ref="D76:I76"/>
    <mergeCell ref="D77:I77"/>
    <mergeCell ref="D78:I78"/>
    <mergeCell ref="D79:I79"/>
  </mergeCells>
  <conditionalFormatting sqref="C25:C26 C46:D79 D25:E25 AP2:AR24 AP37:AR58">
    <cfRule type="expression" priority="2">
      <formula>"$F$22=1"</formula>
    </cfRule>
  </conditionalFormatting>
  <printOptions horizontalCentered="1" verticalCentered="1"/>
  <pageMargins left="0.354330708661417" right="0.354330708661417" top="0.393700787401575" bottom="0.393700787401575" header="0.511811023622047" footer="0.511811023622047"/>
  <pageSetup paperSize="9" scale="75" orientation="portrait"/>
  <headerFooter alignWithMargins="0"/>
  <pictur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84"/>
  <sheetViews>
    <sheetView topLeftCell="AM1" workbookViewId="0">
      <selection activeCell="AR11" sqref="AR11"/>
    </sheetView>
  </sheetViews>
  <sheetFormatPr defaultColWidth="0" defaultRowHeight="17.25" customHeight="1"/>
  <cols>
    <col min="1" max="1" width="6.625" style="38" hidden="1" customWidth="1"/>
    <col min="2" max="4" width="6.625" style="39" hidden="1" customWidth="1"/>
    <col min="5" max="38" width="6.625" style="40" hidden="1" customWidth="1"/>
    <col min="39" max="16383" width="6.625" style="41" customWidth="1"/>
    <col min="16384" max="16384" width="1.375" style="41" hidden="1"/>
  </cols>
  <sheetData>
    <row r="1" customHeight="1" spans="5:9">
      <c r="E1" s="42"/>
      <c r="F1" s="42"/>
      <c r="G1" s="42"/>
      <c r="H1" s="42"/>
      <c r="I1" s="42"/>
    </row>
    <row r="2" customHeight="1" spans="1:38">
      <c r="A2" s="43"/>
      <c r="B2" s="44"/>
      <c r="C2" s="44"/>
      <c r="D2" s="44"/>
      <c r="E2" s="45">
        <v>19</v>
      </c>
      <c r="F2" s="45">
        <v>18</v>
      </c>
      <c r="G2" s="45">
        <v>18</v>
      </c>
      <c r="H2" s="45">
        <v>19</v>
      </c>
      <c r="I2" s="45">
        <v>15</v>
      </c>
      <c r="J2" s="45">
        <v>17</v>
      </c>
      <c r="K2" s="45">
        <v>15</v>
      </c>
      <c r="L2" s="45">
        <v>16</v>
      </c>
      <c r="M2" s="45">
        <v>15</v>
      </c>
      <c r="N2" s="45">
        <v>18</v>
      </c>
      <c r="O2" s="45">
        <v>15</v>
      </c>
      <c r="P2" s="45">
        <v>20</v>
      </c>
      <c r="Q2" s="45">
        <v>16</v>
      </c>
      <c r="R2" s="45">
        <v>17</v>
      </c>
      <c r="S2" s="45">
        <v>15</v>
      </c>
      <c r="T2" s="45">
        <v>16</v>
      </c>
      <c r="U2" s="45">
        <v>16</v>
      </c>
      <c r="V2" s="45">
        <v>16</v>
      </c>
      <c r="W2" s="45">
        <v>16</v>
      </c>
      <c r="X2" s="45">
        <v>18</v>
      </c>
      <c r="Y2" s="45">
        <v>17</v>
      </c>
      <c r="Z2" s="45">
        <v>16</v>
      </c>
      <c r="AA2" s="45">
        <v>17</v>
      </c>
      <c r="AB2" s="45">
        <v>20</v>
      </c>
      <c r="AC2" s="45">
        <v>16</v>
      </c>
      <c r="AD2" s="45">
        <v>17</v>
      </c>
      <c r="AE2" s="45">
        <v>16</v>
      </c>
      <c r="AF2" s="45">
        <v>16</v>
      </c>
      <c r="AG2" s="45">
        <v>16</v>
      </c>
      <c r="AH2" s="45">
        <v>16</v>
      </c>
      <c r="AI2" s="45">
        <v>17</v>
      </c>
      <c r="AJ2" s="45">
        <v>19</v>
      </c>
      <c r="AK2" s="45">
        <v>20</v>
      </c>
      <c r="AL2" s="45">
        <v>16</v>
      </c>
    </row>
    <row r="3" customHeight="1" spans="1:38">
      <c r="A3" s="46" t="s">
        <v>472</v>
      </c>
      <c r="B3" s="46"/>
      <c r="C3" s="46"/>
      <c r="D3" s="47" t="s">
        <v>472</v>
      </c>
      <c r="E3" s="48">
        <f t="shared" ref="E3:AL3" si="0">SUM(E5:E184)/E2</f>
        <v>1.42105263157895</v>
      </c>
      <c r="F3" s="48">
        <f t="shared" si="0"/>
        <v>0.555555555555556</v>
      </c>
      <c r="G3" s="48">
        <f t="shared" si="0"/>
        <v>0.944444444444444</v>
      </c>
      <c r="H3" s="48">
        <f t="shared" si="0"/>
        <v>1.47368421052632</v>
      </c>
      <c r="I3" s="48">
        <f t="shared" si="0"/>
        <v>1.66666666666667</v>
      </c>
      <c r="J3" s="48">
        <f t="shared" si="0"/>
        <v>1.23529411764706</v>
      </c>
      <c r="K3" s="48">
        <f t="shared" si="0"/>
        <v>1.73333333333333</v>
      </c>
      <c r="L3" s="48">
        <f t="shared" si="0"/>
        <v>0.5</v>
      </c>
      <c r="M3" s="48">
        <f t="shared" si="0"/>
        <v>1</v>
      </c>
      <c r="N3" s="48">
        <f t="shared" si="0"/>
        <v>0.611111111111111</v>
      </c>
      <c r="O3" s="48">
        <f t="shared" si="0"/>
        <v>0.933333333333333</v>
      </c>
      <c r="P3" s="48">
        <f t="shared" si="0"/>
        <v>1.4</v>
      </c>
      <c r="Q3" s="48">
        <f t="shared" si="0"/>
        <v>1.0625</v>
      </c>
      <c r="R3" s="48">
        <f t="shared" si="0"/>
        <v>1</v>
      </c>
      <c r="S3" s="48">
        <f t="shared" si="0"/>
        <v>0.8</v>
      </c>
      <c r="T3" s="48">
        <f t="shared" si="0"/>
        <v>0.875</v>
      </c>
      <c r="U3" s="48">
        <f t="shared" si="0"/>
        <v>1.125</v>
      </c>
      <c r="V3" s="48">
        <f t="shared" si="0"/>
        <v>1.75</v>
      </c>
      <c r="W3" s="48">
        <f t="shared" si="0"/>
        <v>0.625</v>
      </c>
      <c r="X3" s="48">
        <f t="shared" si="0"/>
        <v>2.16666666666667</v>
      </c>
      <c r="Y3" s="48">
        <f t="shared" si="0"/>
        <v>0.647058823529412</v>
      </c>
      <c r="Z3" s="48">
        <f t="shared" si="0"/>
        <v>1</v>
      </c>
      <c r="AA3" s="48">
        <f t="shared" si="0"/>
        <v>0.882352941176471</v>
      </c>
      <c r="AB3" s="48">
        <f t="shared" si="0"/>
        <v>2.2</v>
      </c>
      <c r="AC3" s="48">
        <f t="shared" si="0"/>
        <v>1.875</v>
      </c>
      <c r="AD3" s="48">
        <f t="shared" si="0"/>
        <v>0.882352941176471</v>
      </c>
      <c r="AE3" s="48">
        <f t="shared" si="0"/>
        <v>0.3125</v>
      </c>
      <c r="AF3" s="48">
        <f t="shared" si="0"/>
        <v>0.75</v>
      </c>
      <c r="AG3" s="48">
        <f t="shared" si="0"/>
        <v>1.375</v>
      </c>
      <c r="AH3" s="48">
        <f t="shared" si="0"/>
        <v>1.4375</v>
      </c>
      <c r="AI3" s="48">
        <f t="shared" si="0"/>
        <v>1.35294117647059</v>
      </c>
      <c r="AJ3" s="48">
        <f t="shared" si="0"/>
        <v>1.26315789473684</v>
      </c>
      <c r="AK3" s="48">
        <f t="shared" si="0"/>
        <v>2.25</v>
      </c>
      <c r="AL3" s="48">
        <f t="shared" si="0"/>
        <v>0.6875</v>
      </c>
    </row>
    <row r="4" s="36" customFormat="1" customHeight="1" spans="1:38">
      <c r="A4" s="49" t="s">
        <v>420</v>
      </c>
      <c r="B4" s="50" t="s">
        <v>54</v>
      </c>
      <c r="C4" s="51" t="s">
        <v>55</v>
      </c>
      <c r="D4" s="50" t="s">
        <v>56</v>
      </c>
      <c r="E4" s="52" t="s">
        <v>15</v>
      </c>
      <c r="F4" s="52" t="s">
        <v>19</v>
      </c>
      <c r="G4" s="52" t="s">
        <v>23</v>
      </c>
      <c r="H4" s="52" t="s">
        <v>27</v>
      </c>
      <c r="I4" s="52" t="s">
        <v>31</v>
      </c>
      <c r="J4" s="52" t="s">
        <v>33</v>
      </c>
      <c r="K4" s="52" t="s">
        <v>35</v>
      </c>
      <c r="L4" s="52" t="s">
        <v>37</v>
      </c>
      <c r="M4" s="52" t="s">
        <v>39</v>
      </c>
      <c r="N4" s="52" t="s">
        <v>41</v>
      </c>
      <c r="O4" s="52" t="s">
        <v>43</v>
      </c>
      <c r="P4" s="52" t="s">
        <v>425</v>
      </c>
      <c r="Q4" s="52" t="s">
        <v>427</v>
      </c>
      <c r="R4" s="52" t="s">
        <v>429</v>
      </c>
      <c r="S4" s="52" t="s">
        <v>431</v>
      </c>
      <c r="T4" s="52" t="s">
        <v>433</v>
      </c>
      <c r="U4" s="52" t="s">
        <v>435</v>
      </c>
      <c r="V4" s="52" t="s">
        <v>437</v>
      </c>
      <c r="W4" s="52" t="s">
        <v>439</v>
      </c>
      <c r="X4" s="52" t="s">
        <v>441</v>
      </c>
      <c r="Y4" s="52" t="s">
        <v>444</v>
      </c>
      <c r="Z4" s="52" t="s">
        <v>446</v>
      </c>
      <c r="AA4" s="52" t="s">
        <v>448</v>
      </c>
      <c r="AB4" s="52" t="s">
        <v>450</v>
      </c>
      <c r="AC4" s="52" t="s">
        <v>452</v>
      </c>
      <c r="AD4" s="52" t="s">
        <v>454</v>
      </c>
      <c r="AE4" s="52" t="s">
        <v>456</v>
      </c>
      <c r="AF4" s="52" t="s">
        <v>458</v>
      </c>
      <c r="AG4" s="52" t="s">
        <v>460</v>
      </c>
      <c r="AH4" s="52" t="s">
        <v>462</v>
      </c>
      <c r="AI4" s="52" t="s">
        <v>464</v>
      </c>
      <c r="AJ4" s="52" t="s">
        <v>466</v>
      </c>
      <c r="AK4" s="52" t="s">
        <v>468</v>
      </c>
      <c r="AL4" s="52" t="s">
        <v>470</v>
      </c>
    </row>
    <row r="5" s="37" customFormat="1" customHeight="1" spans="1:38">
      <c r="A5" s="53">
        <v>1</v>
      </c>
      <c r="B5" s="54">
        <f>测试题!D7</f>
        <v>0</v>
      </c>
      <c r="C5" s="54">
        <f>测试题!E7</f>
        <v>0</v>
      </c>
      <c r="D5" s="54">
        <f>测试题!F7</f>
        <v>2</v>
      </c>
      <c r="E5" s="54"/>
      <c r="F5" s="54"/>
      <c r="G5" s="54"/>
      <c r="H5" s="54">
        <f>C5+D5</f>
        <v>2</v>
      </c>
      <c r="I5" s="54"/>
      <c r="J5" s="54">
        <f>C5+B5</f>
        <v>0</v>
      </c>
      <c r="K5" s="54"/>
      <c r="L5" s="54"/>
      <c r="M5" s="54"/>
      <c r="N5" s="54"/>
      <c r="O5" s="54"/>
      <c r="P5" s="54"/>
      <c r="Q5" s="54"/>
      <c r="R5" s="54"/>
      <c r="S5" s="54">
        <f>C5+B5</f>
        <v>0</v>
      </c>
      <c r="T5" s="54"/>
      <c r="U5" s="54"/>
      <c r="V5" s="54"/>
      <c r="W5" s="54"/>
      <c r="X5" s="54"/>
      <c r="Y5" s="54"/>
      <c r="Z5" s="54"/>
      <c r="AA5" s="54"/>
      <c r="AB5" s="54"/>
      <c r="AC5" s="54">
        <f>C5+D5</f>
        <v>2</v>
      </c>
      <c r="AD5" s="54"/>
      <c r="AE5" s="54"/>
      <c r="AF5" s="54">
        <f>C5+B5</f>
        <v>0</v>
      </c>
      <c r="AG5" s="54"/>
      <c r="AH5" s="54">
        <f>C5+B5</f>
        <v>0</v>
      </c>
      <c r="AI5" s="54"/>
      <c r="AJ5" s="54"/>
      <c r="AK5" s="54"/>
      <c r="AL5" s="54"/>
    </row>
    <row r="6" customHeight="1" spans="1:38">
      <c r="A6" s="55">
        <f>A5+1</f>
        <v>2</v>
      </c>
      <c r="B6" s="54">
        <f>测试题!D8</f>
        <v>2</v>
      </c>
      <c r="C6" s="54">
        <f>测试题!E8</f>
        <v>0</v>
      </c>
      <c r="D6" s="54">
        <f>测试题!F8</f>
        <v>0</v>
      </c>
      <c r="E6" s="54"/>
      <c r="F6" s="54"/>
      <c r="G6" s="54"/>
      <c r="H6" s="54"/>
      <c r="I6" s="54"/>
      <c r="J6" s="54"/>
      <c r="K6" s="54"/>
      <c r="L6" s="54"/>
      <c r="M6" s="54"/>
      <c r="N6" s="54"/>
      <c r="O6" s="54">
        <f>+C6+D6</f>
        <v>0</v>
      </c>
      <c r="P6" s="54"/>
      <c r="Q6" s="54"/>
      <c r="R6" s="54"/>
      <c r="S6" s="54"/>
      <c r="T6" s="54"/>
      <c r="U6" s="54"/>
      <c r="V6" s="54">
        <f>C6+B6</f>
        <v>2</v>
      </c>
      <c r="W6" s="54"/>
      <c r="X6" s="54"/>
      <c r="Y6" s="54"/>
      <c r="Z6" s="54"/>
      <c r="AA6" s="54"/>
      <c r="AB6" s="54"/>
      <c r="AC6" s="54"/>
      <c r="AD6" s="54"/>
      <c r="AE6" s="54"/>
      <c r="AF6" s="54"/>
      <c r="AG6" s="54"/>
      <c r="AH6" s="54"/>
      <c r="AI6" s="54"/>
      <c r="AJ6" s="54"/>
      <c r="AK6" s="54"/>
      <c r="AL6" s="54"/>
    </row>
    <row r="7" customHeight="1" spans="1:38">
      <c r="A7" s="55">
        <f t="shared" ref="A7:A70" si="1">A6+1</f>
        <v>3</v>
      </c>
      <c r="B7" s="54">
        <f>测试题!D9</f>
        <v>0</v>
      </c>
      <c r="C7" s="54">
        <f>测试题!E9</f>
        <v>0</v>
      </c>
      <c r="D7" s="54">
        <f>测试题!F9</f>
        <v>2</v>
      </c>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f>C7+D7</f>
        <v>2</v>
      </c>
      <c r="AK7" s="54"/>
      <c r="AL7" s="54">
        <f>C7+B7</f>
        <v>0</v>
      </c>
    </row>
    <row r="8" customHeight="1" spans="1:38">
      <c r="A8" s="55">
        <f t="shared" si="1"/>
        <v>4</v>
      </c>
      <c r="B8" s="54">
        <f>测试题!D10</f>
        <v>0</v>
      </c>
      <c r="C8" s="54">
        <f>测试题!E10</f>
        <v>0</v>
      </c>
      <c r="D8" s="54">
        <f>测试题!F10</f>
        <v>2</v>
      </c>
      <c r="E8" s="54">
        <f>C8+B8</f>
        <v>0</v>
      </c>
      <c r="F8" s="54"/>
      <c r="G8" s="54"/>
      <c r="H8" s="54"/>
      <c r="I8" s="54"/>
      <c r="J8" s="54"/>
      <c r="K8" s="54"/>
      <c r="L8" s="54"/>
      <c r="M8" s="54">
        <f>C8+B8</f>
        <v>0</v>
      </c>
      <c r="N8" s="54"/>
      <c r="O8" s="54"/>
      <c r="P8" s="54"/>
      <c r="Q8" s="54"/>
      <c r="R8" s="54"/>
      <c r="S8" s="54"/>
      <c r="T8" s="54"/>
      <c r="U8" s="54"/>
      <c r="V8" s="54"/>
      <c r="W8" s="54"/>
      <c r="X8" s="54"/>
      <c r="Y8" s="54"/>
      <c r="Z8" s="54"/>
      <c r="AA8" s="54"/>
      <c r="AB8" s="54"/>
      <c r="AC8" s="54">
        <f>C8+D8</f>
        <v>2</v>
      </c>
      <c r="AD8" s="54">
        <f>C8+B8</f>
        <v>0</v>
      </c>
      <c r="AE8" s="54"/>
      <c r="AF8" s="54"/>
      <c r="AG8" s="54"/>
      <c r="AH8" s="54"/>
      <c r="AI8" s="54"/>
      <c r="AJ8" s="54"/>
      <c r="AK8" s="54"/>
      <c r="AL8" s="54"/>
    </row>
    <row r="9" customHeight="1" spans="1:38">
      <c r="A9" s="55">
        <f t="shared" si="1"/>
        <v>5</v>
      </c>
      <c r="B9" s="54">
        <f>测试题!D11</f>
        <v>2</v>
      </c>
      <c r="C9" s="54">
        <f>测试题!E11</f>
        <v>0</v>
      </c>
      <c r="D9" s="54">
        <f>测试题!F11</f>
        <v>0</v>
      </c>
      <c r="E9" s="54">
        <f>C9+B9</f>
        <v>2</v>
      </c>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f>C9+D9</f>
        <v>0</v>
      </c>
      <c r="AH9" s="54"/>
      <c r="AI9" s="54"/>
      <c r="AJ9" s="54"/>
      <c r="AK9" s="54"/>
      <c r="AL9" s="54"/>
    </row>
    <row r="10" customHeight="1" spans="1:38">
      <c r="A10" s="55">
        <f t="shared" si="1"/>
        <v>6</v>
      </c>
      <c r="B10" s="54">
        <f>测试题!D12</f>
        <v>0</v>
      </c>
      <c r="C10" s="54">
        <f>测试题!E12</f>
        <v>0</v>
      </c>
      <c r="D10" s="54">
        <f>测试题!F12</f>
        <v>2</v>
      </c>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f>C10+B10</f>
        <v>0</v>
      </c>
      <c r="AE10" s="54"/>
      <c r="AF10" s="54"/>
      <c r="AG10" s="54"/>
      <c r="AH10" s="54"/>
      <c r="AI10" s="54"/>
      <c r="AJ10" s="54">
        <f>C10+D10</f>
        <v>2</v>
      </c>
      <c r="AK10" s="54"/>
      <c r="AL10" s="54"/>
    </row>
    <row r="11" customHeight="1" spans="1:38">
      <c r="A11" s="55">
        <f t="shared" si="1"/>
        <v>7</v>
      </c>
      <c r="B11" s="54">
        <f>测试题!D13</f>
        <v>0</v>
      </c>
      <c r="C11" s="54">
        <f>测试题!E13</f>
        <v>0</v>
      </c>
      <c r="D11" s="54">
        <f>测试题!F13</f>
        <v>2</v>
      </c>
      <c r="E11" s="54"/>
      <c r="F11" s="54"/>
      <c r="G11" s="54"/>
      <c r="H11" s="54">
        <f>$C11+$D11</f>
        <v>2</v>
      </c>
      <c r="I11" s="54">
        <f>$C11+$D11</f>
        <v>2</v>
      </c>
      <c r="J11" s="54">
        <f>$C11+$B11</f>
        <v>0</v>
      </c>
      <c r="K11" s="54">
        <f>$C11+$D11</f>
        <v>2</v>
      </c>
      <c r="L11" s="54"/>
      <c r="M11" s="54"/>
      <c r="N11" s="54"/>
      <c r="O11" s="54"/>
      <c r="P11" s="54">
        <f>$C11+$D11</f>
        <v>2</v>
      </c>
      <c r="Q11" s="54"/>
      <c r="R11" s="54"/>
      <c r="S11" s="54">
        <f>$C11+$B11</f>
        <v>0</v>
      </c>
      <c r="T11" s="54">
        <f>$C11+$B11</f>
        <v>0</v>
      </c>
      <c r="U11" s="54"/>
      <c r="V11" s="54"/>
      <c r="W11" s="54"/>
      <c r="X11" s="54"/>
      <c r="Y11" s="54"/>
      <c r="Z11" s="54"/>
      <c r="AA11" s="54"/>
      <c r="AB11" s="54"/>
      <c r="AC11" s="54"/>
      <c r="AD11" s="54"/>
      <c r="AE11" s="54"/>
      <c r="AF11" s="54"/>
      <c r="AG11" s="54"/>
      <c r="AH11" s="54"/>
      <c r="AI11" s="54"/>
      <c r="AJ11" s="54"/>
      <c r="AK11" s="54">
        <f>$C11+$D11</f>
        <v>2</v>
      </c>
      <c r="AL11" s="54">
        <f>$C11+$B11</f>
        <v>0</v>
      </c>
    </row>
    <row r="12" customHeight="1" spans="1:38">
      <c r="A12" s="55">
        <f t="shared" si="1"/>
        <v>8</v>
      </c>
      <c r="B12" s="54">
        <f>测试题!D14</f>
        <v>0</v>
      </c>
      <c r="C12" s="54">
        <f>测试题!E14</f>
        <v>0</v>
      </c>
      <c r="D12" s="54">
        <f>测试题!F14</f>
        <v>2</v>
      </c>
      <c r="E12" s="54"/>
      <c r="F12" s="54"/>
      <c r="G12" s="54"/>
      <c r="H12" s="54"/>
      <c r="I12" s="54"/>
      <c r="J12" s="54"/>
      <c r="K12" s="54"/>
      <c r="L12" s="54"/>
      <c r="M12" s="54"/>
      <c r="N12" s="54"/>
      <c r="O12" s="54"/>
      <c r="P12" s="54"/>
      <c r="Q12" s="54"/>
      <c r="R12" s="54"/>
      <c r="S12" s="54">
        <f>$C12+$B12</f>
        <v>0</v>
      </c>
      <c r="T12" s="54">
        <f>$C12+$D12</f>
        <v>2</v>
      </c>
      <c r="U12" s="54"/>
      <c r="V12" s="54"/>
      <c r="W12" s="54"/>
      <c r="X12" s="54"/>
      <c r="Y12" s="54">
        <f>$C12+$D12</f>
        <v>2</v>
      </c>
      <c r="Z12" s="54">
        <f>$C12+$B12</f>
        <v>0</v>
      </c>
      <c r="AA12" s="54"/>
      <c r="AB12" s="54"/>
      <c r="AC12" s="54"/>
      <c r="AD12" s="54"/>
      <c r="AE12" s="54"/>
      <c r="AF12" s="54"/>
      <c r="AG12" s="54"/>
      <c r="AH12" s="54"/>
      <c r="AI12" s="54"/>
      <c r="AJ12" s="54"/>
      <c r="AK12" s="54"/>
      <c r="AL12" s="54"/>
    </row>
    <row r="13" customHeight="1" spans="1:38">
      <c r="A13" s="55">
        <f t="shared" si="1"/>
        <v>9</v>
      </c>
      <c r="B13" s="54">
        <f>测试题!D15</f>
        <v>0</v>
      </c>
      <c r="C13" s="54">
        <f>测试题!E15</f>
        <v>0</v>
      </c>
      <c r="D13" s="54">
        <f>测试题!F15</f>
        <v>2</v>
      </c>
      <c r="E13" s="54"/>
      <c r="F13" s="54"/>
      <c r="G13" s="54"/>
      <c r="H13" s="54"/>
      <c r="I13" s="54"/>
      <c r="J13" s="54"/>
      <c r="K13" s="54"/>
      <c r="L13" s="54"/>
      <c r="M13" s="54"/>
      <c r="N13" s="54"/>
      <c r="O13" s="54"/>
      <c r="P13" s="54">
        <f>C13+B13</f>
        <v>0</v>
      </c>
      <c r="Q13" s="54"/>
      <c r="R13" s="54"/>
      <c r="S13" s="54"/>
      <c r="T13" s="54"/>
      <c r="U13" s="54"/>
      <c r="V13" s="54"/>
      <c r="W13" s="54"/>
      <c r="X13" s="54"/>
      <c r="Y13" s="54"/>
      <c r="Z13" s="54"/>
      <c r="AA13" s="54"/>
      <c r="AB13" s="54"/>
      <c r="AC13" s="54"/>
      <c r="AD13" s="54"/>
      <c r="AE13" s="54"/>
      <c r="AF13" s="54"/>
      <c r="AG13" s="54"/>
      <c r="AH13" s="54"/>
      <c r="AI13" s="54"/>
      <c r="AJ13" s="54"/>
      <c r="AK13" s="54"/>
      <c r="AL13" s="54">
        <f>C13+D13</f>
        <v>2</v>
      </c>
    </row>
    <row r="14" customHeight="1" spans="1:38">
      <c r="A14" s="55">
        <f t="shared" si="1"/>
        <v>10</v>
      </c>
      <c r="B14" s="54">
        <f>测试题!D16</f>
        <v>0</v>
      </c>
      <c r="C14" s="54">
        <f>测试题!E16</f>
        <v>0</v>
      </c>
      <c r="D14" s="54">
        <f>测试题!F16</f>
        <v>3</v>
      </c>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f>C14+B14</f>
        <v>0</v>
      </c>
      <c r="AF14" s="54"/>
      <c r="AG14" s="54"/>
      <c r="AH14" s="54"/>
      <c r="AI14" s="54">
        <f>C14+D14</f>
        <v>3</v>
      </c>
      <c r="AJ14" s="54"/>
      <c r="AK14" s="54"/>
      <c r="AL14" s="54"/>
    </row>
    <row r="15" customHeight="1" spans="1:38">
      <c r="A15" s="55">
        <f t="shared" si="1"/>
        <v>11</v>
      </c>
      <c r="B15" s="54">
        <f>测试题!D17</f>
        <v>0</v>
      </c>
      <c r="C15" s="54">
        <f>测试题!E17</f>
        <v>0</v>
      </c>
      <c r="D15" s="54">
        <f>测试题!F17</f>
        <v>2</v>
      </c>
      <c r="E15" s="54"/>
      <c r="F15" s="54"/>
      <c r="G15" s="54"/>
      <c r="H15" s="54"/>
      <c r="I15" s="54"/>
      <c r="J15" s="54"/>
      <c r="K15" s="54"/>
      <c r="L15" s="54"/>
      <c r="M15" s="54"/>
      <c r="N15" s="54"/>
      <c r="O15" s="54"/>
      <c r="P15" s="54"/>
      <c r="Q15" s="54"/>
      <c r="R15" s="54"/>
      <c r="S15" s="54"/>
      <c r="T15" s="54"/>
      <c r="U15" s="54"/>
      <c r="V15" s="54"/>
      <c r="W15" s="54"/>
      <c r="X15" s="54"/>
      <c r="Y15" s="54">
        <f>C15+B15</f>
        <v>0</v>
      </c>
      <c r="Z15" s="54"/>
      <c r="AA15" s="54"/>
      <c r="AB15" s="54">
        <f>C15+D15</f>
        <v>2</v>
      </c>
      <c r="AC15" s="54"/>
      <c r="AD15" s="54"/>
      <c r="AE15" s="54"/>
      <c r="AF15" s="54">
        <f>C15+B15</f>
        <v>0</v>
      </c>
      <c r="AG15" s="54"/>
      <c r="AH15" s="54"/>
      <c r="AI15" s="54">
        <f>C15+D15</f>
        <v>2</v>
      </c>
      <c r="AJ15" s="54"/>
      <c r="AK15" s="54"/>
      <c r="AL15" s="54"/>
    </row>
    <row r="16" customHeight="1" spans="1:38">
      <c r="A16" s="55">
        <f t="shared" si="1"/>
        <v>12</v>
      </c>
      <c r="B16" s="54">
        <f>测试题!D18</f>
        <v>0</v>
      </c>
      <c r="C16" s="54">
        <f>测试题!E18</f>
        <v>0</v>
      </c>
      <c r="D16" s="54">
        <f>测试题!F18</f>
        <v>2</v>
      </c>
      <c r="E16" s="54"/>
      <c r="F16" s="54"/>
      <c r="G16" s="54"/>
      <c r="H16" s="54"/>
      <c r="I16" s="54"/>
      <c r="J16" s="54"/>
      <c r="K16" s="54">
        <f>C16+D16</f>
        <v>2</v>
      </c>
      <c r="L16" s="54"/>
      <c r="M16" s="54"/>
      <c r="N16" s="54"/>
      <c r="O16" s="54"/>
      <c r="P16" s="54"/>
      <c r="Q16" s="54">
        <f>C16+B16</f>
        <v>0</v>
      </c>
      <c r="R16" s="54"/>
      <c r="S16" s="54"/>
      <c r="T16" s="54"/>
      <c r="U16" s="54"/>
      <c r="V16" s="54"/>
      <c r="W16" s="54"/>
      <c r="X16" s="54"/>
      <c r="Y16" s="54"/>
      <c r="Z16" s="54"/>
      <c r="AA16" s="54"/>
      <c r="AB16" s="54"/>
      <c r="AC16" s="54"/>
      <c r="AD16" s="54"/>
      <c r="AE16" s="54"/>
      <c r="AF16" s="54"/>
      <c r="AG16" s="54"/>
      <c r="AH16" s="54"/>
      <c r="AI16" s="54"/>
      <c r="AJ16" s="54"/>
      <c r="AK16" s="54"/>
      <c r="AL16" s="54"/>
    </row>
    <row r="17" customHeight="1" spans="1:38">
      <c r="A17" s="55">
        <f t="shared" si="1"/>
        <v>13</v>
      </c>
      <c r="B17" s="54">
        <f>测试题!D19</f>
        <v>3</v>
      </c>
      <c r="C17" s="54">
        <f>测试题!E19</f>
        <v>0</v>
      </c>
      <c r="D17" s="54">
        <f>测试题!F19</f>
        <v>0</v>
      </c>
      <c r="E17" s="54"/>
      <c r="F17" s="54"/>
      <c r="G17" s="54"/>
      <c r="H17" s="54"/>
      <c r="I17" s="54"/>
      <c r="J17" s="54">
        <f>C17+B17</f>
        <v>3</v>
      </c>
      <c r="K17" s="54"/>
      <c r="L17" s="54"/>
      <c r="M17" s="54"/>
      <c r="N17" s="54"/>
      <c r="O17" s="54"/>
      <c r="P17" s="54"/>
      <c r="Q17" s="54"/>
      <c r="R17" s="54"/>
      <c r="S17" s="54"/>
      <c r="T17" s="54"/>
      <c r="U17" s="54"/>
      <c r="V17" s="54"/>
      <c r="W17" s="54"/>
      <c r="X17" s="54"/>
      <c r="Y17" s="54"/>
      <c r="Z17" s="54"/>
      <c r="AA17" s="54"/>
      <c r="AB17" s="54"/>
      <c r="AC17" s="54"/>
      <c r="AD17" s="54">
        <f>C17+D17</f>
        <v>0</v>
      </c>
      <c r="AE17" s="54"/>
      <c r="AF17" s="54"/>
      <c r="AG17" s="54"/>
      <c r="AH17" s="54"/>
      <c r="AI17" s="54"/>
      <c r="AJ17" s="54"/>
      <c r="AK17" s="54"/>
      <c r="AL17" s="54"/>
    </row>
    <row r="18" customHeight="1" spans="1:38">
      <c r="A18" s="55">
        <f t="shared" si="1"/>
        <v>14</v>
      </c>
      <c r="B18" s="54">
        <f>测试题!D20</f>
        <v>2</v>
      </c>
      <c r="C18" s="54">
        <f>测试题!E20</f>
        <v>0</v>
      </c>
      <c r="D18" s="54">
        <f>测试题!F20</f>
        <v>0</v>
      </c>
      <c r="E18" s="54"/>
      <c r="F18" s="54"/>
      <c r="G18" s="54"/>
      <c r="H18" s="54"/>
      <c r="I18" s="54"/>
      <c r="J18" s="54"/>
      <c r="K18" s="54">
        <f>C18+D18</f>
        <v>0</v>
      </c>
      <c r="L18" s="54"/>
      <c r="M18" s="54"/>
      <c r="N18" s="54"/>
      <c r="O18" s="54"/>
      <c r="P18" s="54"/>
      <c r="Q18" s="54"/>
      <c r="R18" s="54"/>
      <c r="S18" s="54"/>
      <c r="T18" s="54"/>
      <c r="U18" s="54"/>
      <c r="V18" s="54"/>
      <c r="W18" s="54"/>
      <c r="X18" s="54"/>
      <c r="Y18" s="54"/>
      <c r="Z18" s="54"/>
      <c r="AA18" s="54"/>
      <c r="AB18" s="54"/>
      <c r="AC18" s="54"/>
      <c r="AD18" s="54"/>
      <c r="AE18" s="54"/>
      <c r="AF18" s="54">
        <f>C18+B18</f>
        <v>2</v>
      </c>
      <c r="AG18" s="54"/>
      <c r="AH18" s="54"/>
      <c r="AI18" s="54"/>
      <c r="AJ18" s="54"/>
      <c r="AK18" s="54"/>
      <c r="AL18" s="54"/>
    </row>
    <row r="19" customHeight="1" spans="1:38">
      <c r="A19" s="55">
        <f t="shared" si="1"/>
        <v>15</v>
      </c>
      <c r="B19" s="54">
        <f>测试题!D21</f>
        <v>2</v>
      </c>
      <c r="C19" s="54">
        <f>测试题!E21</f>
        <v>0</v>
      </c>
      <c r="D19" s="54">
        <f>测试题!F21</f>
        <v>0</v>
      </c>
      <c r="E19" s="54"/>
      <c r="F19" s="54"/>
      <c r="G19" s="54"/>
      <c r="H19" s="54"/>
      <c r="I19" s="54"/>
      <c r="J19" s="54"/>
      <c r="K19" s="54">
        <f>C19+B19</f>
        <v>2</v>
      </c>
      <c r="L19" s="54"/>
      <c r="M19" s="54"/>
      <c r="N19" s="54"/>
      <c r="O19" s="54"/>
      <c r="P19" s="54"/>
      <c r="Q19" s="54"/>
      <c r="R19" s="54"/>
      <c r="S19" s="54">
        <f>C19+D19</f>
        <v>0</v>
      </c>
      <c r="T19" s="54"/>
      <c r="U19" s="54"/>
      <c r="V19" s="54"/>
      <c r="W19" s="54"/>
      <c r="X19" s="54"/>
      <c r="Y19" s="54"/>
      <c r="Z19" s="54"/>
      <c r="AA19" s="54"/>
      <c r="AB19" s="54"/>
      <c r="AC19" s="54"/>
      <c r="AD19" s="54"/>
      <c r="AE19" s="54"/>
      <c r="AF19" s="54"/>
      <c r="AG19" s="54"/>
      <c r="AH19" s="54"/>
      <c r="AI19" s="54"/>
      <c r="AJ19" s="54"/>
      <c r="AK19" s="54"/>
      <c r="AL19" s="54"/>
    </row>
    <row r="20" customHeight="1" spans="1:38">
      <c r="A20" s="55">
        <f t="shared" si="1"/>
        <v>16</v>
      </c>
      <c r="B20" s="54">
        <f>测试题!D22</f>
        <v>3</v>
      </c>
      <c r="C20" s="54">
        <f>测试题!E22</f>
        <v>0</v>
      </c>
      <c r="D20" s="54">
        <f>测试题!F22</f>
        <v>0</v>
      </c>
      <c r="E20" s="54"/>
      <c r="F20" s="54"/>
      <c r="G20" s="54"/>
      <c r="H20" s="54"/>
      <c r="I20" s="54"/>
      <c r="J20" s="54">
        <f>C20+D20</f>
        <v>0</v>
      </c>
      <c r="K20" s="54"/>
      <c r="L20" s="54"/>
      <c r="M20" s="54"/>
      <c r="N20" s="54"/>
      <c r="O20" s="54"/>
      <c r="P20" s="54"/>
      <c r="Q20" s="54"/>
      <c r="R20" s="54"/>
      <c r="S20" s="54"/>
      <c r="T20" s="54"/>
      <c r="U20" s="54"/>
      <c r="V20" s="54">
        <f>C20+B20</f>
        <v>3</v>
      </c>
      <c r="W20" s="54"/>
      <c r="X20" s="54"/>
      <c r="Y20" s="54"/>
      <c r="Z20" s="54"/>
      <c r="AA20" s="54"/>
      <c r="AB20" s="54"/>
      <c r="AC20" s="54"/>
      <c r="AD20" s="54"/>
      <c r="AE20" s="54"/>
      <c r="AF20" s="54"/>
      <c r="AG20" s="54"/>
      <c r="AH20" s="54"/>
      <c r="AI20" s="54"/>
      <c r="AJ20" s="54"/>
      <c r="AK20" s="54"/>
      <c r="AL20" s="54"/>
    </row>
    <row r="21" customHeight="1" spans="1:38">
      <c r="A21" s="55">
        <f t="shared" si="1"/>
        <v>17</v>
      </c>
      <c r="B21" s="54">
        <f>测试题!D23</f>
        <v>3</v>
      </c>
      <c r="C21" s="54">
        <f>测试题!E23</f>
        <v>0</v>
      </c>
      <c r="D21" s="54">
        <f>测试题!F23</f>
        <v>0</v>
      </c>
      <c r="E21" s="54"/>
      <c r="F21" s="54"/>
      <c r="G21" s="54"/>
      <c r="H21" s="54"/>
      <c r="I21" s="54"/>
      <c r="J21" s="54"/>
      <c r="K21" s="54"/>
      <c r="L21" s="54"/>
      <c r="M21" s="54"/>
      <c r="N21" s="54"/>
      <c r="O21" s="54"/>
      <c r="P21" s="54">
        <f>C21+B21</f>
        <v>3</v>
      </c>
      <c r="Q21" s="54"/>
      <c r="R21" s="54"/>
      <c r="S21" s="54"/>
      <c r="T21" s="54"/>
      <c r="U21" s="54"/>
      <c r="V21" s="54"/>
      <c r="W21" s="54"/>
      <c r="X21" s="54"/>
      <c r="Y21" s="54"/>
      <c r="Z21" s="54"/>
      <c r="AA21" s="54"/>
      <c r="AB21" s="54"/>
      <c r="AC21" s="54"/>
      <c r="AD21" s="54">
        <f>C21+D21</f>
        <v>0</v>
      </c>
      <c r="AE21" s="54"/>
      <c r="AF21" s="54"/>
      <c r="AG21" s="54"/>
      <c r="AH21" s="54"/>
      <c r="AI21" s="54"/>
      <c r="AJ21" s="54">
        <f>C21+D21</f>
        <v>0</v>
      </c>
      <c r="AK21" s="54"/>
      <c r="AL21" s="54"/>
    </row>
    <row r="22" customHeight="1" spans="1:38">
      <c r="A22" s="55">
        <f t="shared" si="1"/>
        <v>18</v>
      </c>
      <c r="B22" s="54">
        <f>测试题!D24</f>
        <v>0</v>
      </c>
      <c r="C22" s="54">
        <f>测试题!E24</f>
        <v>0</v>
      </c>
      <c r="D22" s="54">
        <f>测试题!F24</f>
        <v>3</v>
      </c>
      <c r="E22" s="54"/>
      <c r="F22" s="54"/>
      <c r="G22" s="54"/>
      <c r="H22" s="54"/>
      <c r="I22" s="54"/>
      <c r="J22" s="54"/>
      <c r="K22" s="54"/>
      <c r="L22" s="54"/>
      <c r="M22" s="54"/>
      <c r="N22" s="54"/>
      <c r="O22" s="54"/>
      <c r="P22" s="54"/>
      <c r="Q22" s="54"/>
      <c r="R22" s="54"/>
      <c r="S22" s="54"/>
      <c r="T22" s="54"/>
      <c r="U22" s="54"/>
      <c r="V22" s="54">
        <f>C22+B22</f>
        <v>0</v>
      </c>
      <c r="W22" s="54"/>
      <c r="X22" s="54"/>
      <c r="Y22" s="54"/>
      <c r="Z22" s="54"/>
      <c r="AA22" s="54"/>
      <c r="AB22" s="54"/>
      <c r="AC22" s="54"/>
      <c r="AD22" s="54"/>
      <c r="AE22" s="54"/>
      <c r="AF22" s="54"/>
      <c r="AG22" s="54"/>
      <c r="AH22" s="54"/>
      <c r="AI22" s="54"/>
      <c r="AJ22" s="54">
        <f>C22+D22</f>
        <v>3</v>
      </c>
      <c r="AK22" s="54">
        <f>C22+D22</f>
        <v>3</v>
      </c>
      <c r="AL22" s="54"/>
    </row>
    <row r="23" customHeight="1" spans="1:38">
      <c r="A23" s="55">
        <f t="shared" si="1"/>
        <v>19</v>
      </c>
      <c r="B23" s="54">
        <f>测试题!D25</f>
        <v>0</v>
      </c>
      <c r="C23" s="54">
        <f>测试题!E25</f>
        <v>0</v>
      </c>
      <c r="D23" s="54">
        <f>测试题!F25</f>
        <v>2</v>
      </c>
      <c r="E23" s="54"/>
      <c r="F23" s="54"/>
      <c r="G23" s="54"/>
      <c r="H23" s="54"/>
      <c r="I23" s="54"/>
      <c r="J23" s="54"/>
      <c r="K23" s="54"/>
      <c r="L23" s="54"/>
      <c r="M23" s="54"/>
      <c r="N23" s="54"/>
      <c r="O23" s="54"/>
      <c r="P23" s="54"/>
      <c r="Q23" s="54"/>
      <c r="R23" s="54"/>
      <c r="S23" s="54"/>
      <c r="T23" s="54"/>
      <c r="U23" s="54"/>
      <c r="V23" s="54"/>
      <c r="W23" s="54">
        <f>C23+D23</f>
        <v>2</v>
      </c>
      <c r="X23" s="54"/>
      <c r="Y23" s="54"/>
      <c r="Z23" s="54"/>
      <c r="AA23" s="54"/>
      <c r="AB23" s="54"/>
      <c r="AC23" s="54"/>
      <c r="AD23" s="54"/>
      <c r="AE23" s="54">
        <f>C23+B23</f>
        <v>0</v>
      </c>
      <c r="AF23" s="54"/>
      <c r="AG23" s="54"/>
      <c r="AH23" s="54"/>
      <c r="AI23" s="54"/>
      <c r="AJ23" s="54"/>
      <c r="AK23" s="54"/>
      <c r="AL23" s="54"/>
    </row>
    <row r="24" customHeight="1" spans="1:38">
      <c r="A24" s="55">
        <f t="shared" si="1"/>
        <v>20</v>
      </c>
      <c r="B24" s="54">
        <f>测试题!D26</f>
        <v>0</v>
      </c>
      <c r="C24" s="54">
        <f>测试题!E26</f>
        <v>0</v>
      </c>
      <c r="D24" s="54">
        <f>测试题!F26</f>
        <v>2</v>
      </c>
      <c r="E24" s="54"/>
      <c r="F24" s="54">
        <f>C24+B24</f>
        <v>0</v>
      </c>
      <c r="G24" s="54"/>
      <c r="H24" s="54"/>
      <c r="I24" s="54"/>
      <c r="J24" s="54"/>
      <c r="K24" s="54"/>
      <c r="L24" s="54"/>
      <c r="M24" s="54"/>
      <c r="N24" s="54"/>
      <c r="O24" s="54"/>
      <c r="P24" s="54">
        <f>C24+D24</f>
        <v>2</v>
      </c>
      <c r="Q24" s="54"/>
      <c r="R24" s="54"/>
      <c r="S24" s="54"/>
      <c r="T24" s="54"/>
      <c r="U24" s="54"/>
      <c r="V24" s="54"/>
      <c r="W24" s="54"/>
      <c r="X24" s="54"/>
      <c r="Y24" s="54"/>
      <c r="Z24" s="54"/>
      <c r="AA24" s="54"/>
      <c r="AB24" s="54"/>
      <c r="AC24" s="54"/>
      <c r="AD24" s="54"/>
      <c r="AE24" s="54"/>
      <c r="AF24" s="54"/>
      <c r="AG24" s="54"/>
      <c r="AH24" s="54"/>
      <c r="AI24" s="54"/>
      <c r="AJ24" s="54"/>
      <c r="AK24" s="54"/>
      <c r="AL24" s="54"/>
    </row>
    <row r="25" customHeight="1" spans="1:38">
      <c r="A25" s="55">
        <f t="shared" si="1"/>
        <v>21</v>
      </c>
      <c r="B25" s="54">
        <f>测试题!D27</f>
        <v>3</v>
      </c>
      <c r="C25" s="54">
        <f>测试题!E27</f>
        <v>0</v>
      </c>
      <c r="D25" s="54">
        <f>测试题!F27</f>
        <v>0</v>
      </c>
      <c r="E25" s="54"/>
      <c r="F25" s="54"/>
      <c r="G25" s="54">
        <f>C25+D25</f>
        <v>0</v>
      </c>
      <c r="H25" s="54"/>
      <c r="I25" s="54"/>
      <c r="J25" s="54"/>
      <c r="K25" s="54"/>
      <c r="L25" s="54"/>
      <c r="M25" s="54"/>
      <c r="N25" s="54"/>
      <c r="O25" s="54"/>
      <c r="P25" s="54"/>
      <c r="Q25" s="54"/>
      <c r="R25" s="54"/>
      <c r="S25" s="54"/>
      <c r="T25" s="54"/>
      <c r="U25" s="54">
        <f>C25+B25</f>
        <v>3</v>
      </c>
      <c r="V25" s="54"/>
      <c r="W25" s="54"/>
      <c r="X25" s="54"/>
      <c r="Y25" s="54"/>
      <c r="Z25" s="54"/>
      <c r="AA25" s="54"/>
      <c r="AB25" s="54"/>
      <c r="AC25" s="54"/>
      <c r="AD25" s="54"/>
      <c r="AE25" s="54"/>
      <c r="AF25" s="54"/>
      <c r="AG25" s="54"/>
      <c r="AH25" s="54"/>
      <c r="AI25" s="54"/>
      <c r="AJ25" s="54"/>
      <c r="AK25" s="54"/>
      <c r="AL25" s="54"/>
    </row>
    <row r="26" customHeight="1" spans="1:38">
      <c r="A26" s="55">
        <f t="shared" si="1"/>
        <v>22</v>
      </c>
      <c r="B26" s="54">
        <f>测试题!D28</f>
        <v>0</v>
      </c>
      <c r="C26" s="54">
        <f>测试题!E28</f>
        <v>0</v>
      </c>
      <c r="D26" s="54">
        <f>测试题!F28</f>
        <v>3</v>
      </c>
      <c r="E26" s="54"/>
      <c r="F26" s="54"/>
      <c r="G26" s="54">
        <f>C26+D26</f>
        <v>3</v>
      </c>
      <c r="H26" s="54"/>
      <c r="I26" s="54"/>
      <c r="J26" s="54"/>
      <c r="K26" s="54"/>
      <c r="L26" s="54"/>
      <c r="M26" s="54"/>
      <c r="N26" s="54">
        <f>C26+B26</f>
        <v>0</v>
      </c>
      <c r="O26" s="54"/>
      <c r="P26" s="54"/>
      <c r="Q26" s="54"/>
      <c r="R26" s="54"/>
      <c r="S26" s="54"/>
      <c r="T26" s="54"/>
      <c r="U26" s="54"/>
      <c r="V26" s="54"/>
      <c r="W26" s="54"/>
      <c r="X26" s="54"/>
      <c r="Y26" s="54"/>
      <c r="Z26" s="54"/>
      <c r="AA26" s="54"/>
      <c r="AB26" s="54"/>
      <c r="AC26" s="54"/>
      <c r="AD26" s="54"/>
      <c r="AE26" s="54"/>
      <c r="AF26" s="54"/>
      <c r="AG26" s="54"/>
      <c r="AH26" s="54"/>
      <c r="AI26" s="54"/>
      <c r="AJ26" s="54"/>
      <c r="AK26" s="54"/>
      <c r="AL26" s="54"/>
    </row>
    <row r="27" customHeight="1" spans="1:38">
      <c r="A27" s="55">
        <f t="shared" si="1"/>
        <v>23</v>
      </c>
      <c r="B27" s="54">
        <f>测试题!D29</f>
        <v>2</v>
      </c>
      <c r="C27" s="54">
        <f>测试题!E29</f>
        <v>0</v>
      </c>
      <c r="D27" s="54">
        <f>测试题!F29</f>
        <v>0</v>
      </c>
      <c r="E27" s="54"/>
      <c r="F27" s="54"/>
      <c r="G27" s="54"/>
      <c r="H27" s="54"/>
      <c r="I27" s="54"/>
      <c r="J27" s="54"/>
      <c r="K27" s="54"/>
      <c r="L27" s="54">
        <f>C27+B27</f>
        <v>2</v>
      </c>
      <c r="M27" s="54"/>
      <c r="N27" s="54"/>
      <c r="O27" s="54"/>
      <c r="P27" s="54"/>
      <c r="Q27" s="54"/>
      <c r="R27" s="54"/>
      <c r="S27" s="54">
        <f>C27+D27</f>
        <v>0</v>
      </c>
      <c r="T27" s="54"/>
      <c r="U27" s="54"/>
      <c r="V27" s="54"/>
      <c r="W27" s="54"/>
      <c r="X27" s="54"/>
      <c r="Y27" s="54"/>
      <c r="Z27" s="54"/>
      <c r="AA27" s="54"/>
      <c r="AB27" s="54"/>
      <c r="AC27" s="54"/>
      <c r="AD27" s="54"/>
      <c r="AE27" s="54"/>
      <c r="AF27" s="54"/>
      <c r="AG27" s="54"/>
      <c r="AH27" s="54"/>
      <c r="AI27" s="54"/>
      <c r="AJ27" s="54"/>
      <c r="AK27" s="54"/>
      <c r="AL27" s="54"/>
    </row>
    <row r="28" customHeight="1" spans="1:38">
      <c r="A28" s="55">
        <f t="shared" si="1"/>
        <v>24</v>
      </c>
      <c r="B28" s="54">
        <f>测试题!D30</f>
        <v>0</v>
      </c>
      <c r="C28" s="54">
        <f>测试题!E30</f>
        <v>0</v>
      </c>
      <c r="D28" s="54">
        <f>测试题!F30</f>
        <v>3</v>
      </c>
      <c r="E28" s="54">
        <f>C28+D28</f>
        <v>3</v>
      </c>
      <c r="F28" s="54"/>
      <c r="G28" s="54"/>
      <c r="H28" s="54"/>
      <c r="I28" s="54"/>
      <c r="J28" s="54"/>
      <c r="K28" s="54"/>
      <c r="L28" s="54"/>
      <c r="M28" s="54"/>
      <c r="N28" s="54"/>
      <c r="O28" s="54"/>
      <c r="P28" s="54"/>
      <c r="Q28" s="54">
        <f>C28+B28</f>
        <v>0</v>
      </c>
      <c r="R28" s="54"/>
      <c r="S28" s="54"/>
      <c r="T28" s="54"/>
      <c r="U28" s="54"/>
      <c r="V28" s="54"/>
      <c r="W28" s="54"/>
      <c r="X28" s="54"/>
      <c r="Y28" s="54"/>
      <c r="Z28" s="54"/>
      <c r="AA28" s="54"/>
      <c r="AB28" s="54"/>
      <c r="AC28" s="54"/>
      <c r="AD28" s="54"/>
      <c r="AE28" s="54">
        <f>C28+B28</f>
        <v>0</v>
      </c>
      <c r="AF28" s="54"/>
      <c r="AG28" s="54"/>
      <c r="AH28" s="54"/>
      <c r="AI28" s="54"/>
      <c r="AJ28" s="54">
        <f>C28+D28</f>
        <v>3</v>
      </c>
      <c r="AK28" s="54"/>
      <c r="AL28" s="54">
        <f>C28+B28</f>
        <v>0</v>
      </c>
    </row>
    <row r="29" customHeight="1" spans="1:38">
      <c r="A29" s="55">
        <f t="shared" si="1"/>
        <v>25</v>
      </c>
      <c r="B29" s="54">
        <f>测试题!D31</f>
        <v>0</v>
      </c>
      <c r="C29" s="54">
        <f>测试题!E31</f>
        <v>1</v>
      </c>
      <c r="D29" s="54">
        <f>测试题!F31</f>
        <v>0</v>
      </c>
      <c r="E29" s="54"/>
      <c r="F29" s="54"/>
      <c r="G29" s="54"/>
      <c r="H29" s="54"/>
      <c r="I29" s="54"/>
      <c r="J29" s="54"/>
      <c r="K29" s="54"/>
      <c r="L29" s="54"/>
      <c r="M29" s="54">
        <f>C29+B29</f>
        <v>1</v>
      </c>
      <c r="N29" s="54"/>
      <c r="O29" s="54"/>
      <c r="P29" s="54"/>
      <c r="Q29" s="54"/>
      <c r="R29" s="54"/>
      <c r="S29" s="54"/>
      <c r="T29" s="54"/>
      <c r="U29" s="54"/>
      <c r="V29" s="54"/>
      <c r="W29" s="54"/>
      <c r="X29" s="54"/>
      <c r="Y29" s="54"/>
      <c r="Z29" s="54"/>
      <c r="AA29" s="54"/>
      <c r="AB29" s="54"/>
      <c r="AC29" s="54"/>
      <c r="AD29" s="54"/>
      <c r="AE29" s="54"/>
      <c r="AF29" s="54">
        <f>C29+D29</f>
        <v>1</v>
      </c>
      <c r="AG29" s="54"/>
      <c r="AH29" s="54"/>
      <c r="AI29" s="54"/>
      <c r="AJ29" s="54"/>
      <c r="AK29" s="54"/>
      <c r="AL29" s="54"/>
    </row>
    <row r="30" customHeight="1" spans="1:38">
      <c r="A30" s="55">
        <f t="shared" si="1"/>
        <v>26</v>
      </c>
      <c r="B30" s="54">
        <f>测试题!D32</f>
        <v>0</v>
      </c>
      <c r="C30" s="54">
        <f>测试题!E32</f>
        <v>0</v>
      </c>
      <c r="D30" s="54">
        <f>测试题!F32</f>
        <v>3</v>
      </c>
      <c r="E30" s="54"/>
      <c r="F30" s="54"/>
      <c r="G30" s="54"/>
      <c r="H30" s="54"/>
      <c r="I30" s="54"/>
      <c r="J30" s="54"/>
      <c r="K30" s="54"/>
      <c r="L30" s="54"/>
      <c r="M30" s="54"/>
      <c r="N30" s="54">
        <f>C30+B30</f>
        <v>0</v>
      </c>
      <c r="O30" s="54"/>
      <c r="P30" s="56"/>
      <c r="Q30" s="54"/>
      <c r="R30" s="54"/>
      <c r="S30" s="54"/>
      <c r="T30" s="54"/>
      <c r="U30" s="54"/>
      <c r="V30" s="54"/>
      <c r="W30" s="54"/>
      <c r="X30" s="54">
        <f>C30+D30</f>
        <v>3</v>
      </c>
      <c r="Y30" s="54"/>
      <c r="Z30" s="54"/>
      <c r="AA30" s="54"/>
      <c r="AB30" s="54">
        <f>C30+D30</f>
        <v>3</v>
      </c>
      <c r="AC30" s="54"/>
      <c r="AD30" s="54"/>
      <c r="AE30" s="54"/>
      <c r="AF30" s="54"/>
      <c r="AG30" s="54"/>
      <c r="AH30" s="54"/>
      <c r="AI30" s="54"/>
      <c r="AJ30" s="54"/>
      <c r="AK30" s="54">
        <f>C30+D30</f>
        <v>3</v>
      </c>
      <c r="AL30" s="54"/>
    </row>
    <row r="31" customHeight="1" spans="1:38">
      <c r="A31" s="55">
        <f t="shared" si="1"/>
        <v>27</v>
      </c>
      <c r="B31" s="54">
        <f>测试题!D33</f>
        <v>0</v>
      </c>
      <c r="C31" s="54">
        <f>测试题!E33</f>
        <v>0</v>
      </c>
      <c r="D31" s="54">
        <f>测试题!F33</f>
        <v>2</v>
      </c>
      <c r="E31" s="54"/>
      <c r="F31" s="54"/>
      <c r="G31" s="54"/>
      <c r="H31" s="54">
        <f>C31+D31</f>
        <v>2</v>
      </c>
      <c r="I31" s="54"/>
      <c r="J31" s="54"/>
      <c r="K31" s="54"/>
      <c r="L31" s="54"/>
      <c r="M31" s="54"/>
      <c r="N31" s="54"/>
      <c r="O31" s="54"/>
      <c r="P31" s="54">
        <f>C31+B31</f>
        <v>0</v>
      </c>
      <c r="Q31" s="54"/>
      <c r="R31" s="54"/>
      <c r="S31" s="54"/>
      <c r="T31" s="54"/>
      <c r="U31" s="54"/>
      <c r="V31" s="54"/>
      <c r="W31" s="54"/>
      <c r="X31" s="54"/>
      <c r="Y31" s="54"/>
      <c r="Z31" s="54"/>
      <c r="AA31" s="54"/>
      <c r="AB31" s="54"/>
      <c r="AC31" s="54"/>
      <c r="AD31" s="54"/>
      <c r="AE31" s="54">
        <f>C31+B31</f>
        <v>0</v>
      </c>
      <c r="AF31" s="54"/>
      <c r="AG31" s="54"/>
      <c r="AH31" s="54"/>
      <c r="AI31" s="54"/>
      <c r="AJ31" s="54"/>
      <c r="AK31" s="54"/>
      <c r="AL31" s="54"/>
    </row>
    <row r="32" customHeight="1" spans="1:38">
      <c r="A32" s="55">
        <f t="shared" si="1"/>
        <v>28</v>
      </c>
      <c r="B32" s="54">
        <f>测试题!D34</f>
        <v>0</v>
      </c>
      <c r="C32" s="54">
        <f>测试题!E34</f>
        <v>0</v>
      </c>
      <c r="D32" s="54">
        <f>测试题!F34</f>
        <v>2</v>
      </c>
      <c r="E32" s="54">
        <f>C32+B32</f>
        <v>0</v>
      </c>
      <c r="F32" s="54"/>
      <c r="G32" s="54"/>
      <c r="H32" s="54"/>
      <c r="I32" s="54"/>
      <c r="J32" s="54"/>
      <c r="K32" s="54">
        <f>C32+B32</f>
        <v>0</v>
      </c>
      <c r="L32" s="54"/>
      <c r="M32" s="54"/>
      <c r="N32" s="54"/>
      <c r="O32" s="54"/>
      <c r="P32" s="54"/>
      <c r="Q32" s="54">
        <f>C32+D32</f>
        <v>2</v>
      </c>
      <c r="R32" s="54"/>
      <c r="S32" s="54"/>
      <c r="T32" s="54"/>
      <c r="U32" s="54"/>
      <c r="V32" s="54"/>
      <c r="W32" s="54"/>
      <c r="X32" s="54"/>
      <c r="Y32" s="54"/>
      <c r="Z32" s="54"/>
      <c r="AA32" s="54"/>
      <c r="AB32" s="54"/>
      <c r="AC32" s="54"/>
      <c r="AD32" s="54"/>
      <c r="AE32" s="54"/>
      <c r="AF32" s="54"/>
      <c r="AG32" s="54"/>
      <c r="AH32" s="54"/>
      <c r="AI32" s="54"/>
      <c r="AJ32" s="54">
        <f>C32+B32</f>
        <v>0</v>
      </c>
      <c r="AK32" s="54"/>
      <c r="AL32" s="54"/>
    </row>
    <row r="33" customHeight="1" spans="1:38">
      <c r="A33" s="55">
        <f t="shared" si="1"/>
        <v>29</v>
      </c>
      <c r="B33" s="54">
        <f>测试题!D35</f>
        <v>0</v>
      </c>
      <c r="C33" s="54">
        <f>测试题!E35</f>
        <v>1</v>
      </c>
      <c r="D33" s="54">
        <f>测试题!F35</f>
        <v>0</v>
      </c>
      <c r="E33" s="54"/>
      <c r="F33" s="54"/>
      <c r="G33" s="54"/>
      <c r="H33" s="54"/>
      <c r="I33" s="54"/>
      <c r="J33" s="54"/>
      <c r="K33" s="54">
        <f>C33+B33-D33</f>
        <v>1</v>
      </c>
      <c r="L33" s="54"/>
      <c r="M33" s="54"/>
      <c r="N33" s="54"/>
      <c r="O33" s="54"/>
      <c r="P33" s="54"/>
      <c r="Q33" s="54"/>
      <c r="R33" s="54"/>
      <c r="S33" s="54"/>
      <c r="T33" s="54"/>
      <c r="U33" s="54"/>
      <c r="V33" s="54"/>
      <c r="W33" s="54">
        <f>C33+D33</f>
        <v>1</v>
      </c>
      <c r="X33" s="54"/>
      <c r="Y33" s="54"/>
      <c r="Z33" s="54"/>
      <c r="AA33" s="54"/>
      <c r="AB33" s="54"/>
      <c r="AC33" s="54"/>
      <c r="AD33" s="54"/>
      <c r="AE33" s="54"/>
      <c r="AF33" s="54"/>
      <c r="AG33" s="54"/>
      <c r="AH33" s="54"/>
      <c r="AI33" s="54"/>
      <c r="AJ33" s="54"/>
      <c r="AK33" s="54"/>
      <c r="AL33" s="54"/>
    </row>
    <row r="34" customHeight="1" spans="1:38">
      <c r="A34" s="55">
        <f t="shared" si="1"/>
        <v>30</v>
      </c>
      <c r="B34" s="54">
        <f>测试题!D36</f>
        <v>2</v>
      </c>
      <c r="C34" s="54">
        <f>测试题!E36</f>
        <v>0</v>
      </c>
      <c r="D34" s="54">
        <f>测试题!F36</f>
        <v>0</v>
      </c>
      <c r="E34" s="54"/>
      <c r="F34" s="54"/>
      <c r="G34" s="54"/>
      <c r="H34" s="54"/>
      <c r="I34" s="54"/>
      <c r="J34" s="54">
        <f>C34+D34</f>
        <v>0</v>
      </c>
      <c r="K34" s="54"/>
      <c r="L34" s="54"/>
      <c r="M34" s="54"/>
      <c r="N34" s="54"/>
      <c r="O34" s="54"/>
      <c r="P34" s="54"/>
      <c r="Q34" s="54"/>
      <c r="R34" s="54"/>
      <c r="S34" s="54">
        <f>C34+B34</f>
        <v>2</v>
      </c>
      <c r="T34" s="54">
        <f>C34+D34</f>
        <v>0</v>
      </c>
      <c r="U34" s="54"/>
      <c r="V34" s="54"/>
      <c r="W34" s="54"/>
      <c r="X34" s="54"/>
      <c r="Y34" s="54"/>
      <c r="Z34" s="54">
        <f>C34+B34</f>
        <v>2</v>
      </c>
      <c r="AA34" s="54"/>
      <c r="AB34" s="54"/>
      <c r="AC34" s="54"/>
      <c r="AD34" s="54"/>
      <c r="AE34" s="54"/>
      <c r="AF34" s="54"/>
      <c r="AG34" s="54"/>
      <c r="AH34" s="54"/>
      <c r="AI34" s="54"/>
      <c r="AJ34" s="54"/>
      <c r="AK34" s="54"/>
      <c r="AL34" s="54"/>
    </row>
    <row r="35" customHeight="1" spans="1:38">
      <c r="A35" s="55">
        <f t="shared" si="1"/>
        <v>31</v>
      </c>
      <c r="B35" s="54">
        <f>测试题!D37</f>
        <v>2</v>
      </c>
      <c r="C35" s="54">
        <f>测试题!E37</f>
        <v>0</v>
      </c>
      <c r="D35" s="54">
        <f>测试题!F37</f>
        <v>0</v>
      </c>
      <c r="E35" s="54"/>
      <c r="F35" s="54"/>
      <c r="G35" s="54"/>
      <c r="H35" s="54"/>
      <c r="I35" s="54"/>
      <c r="J35" s="54"/>
      <c r="K35" s="54"/>
      <c r="L35" s="54"/>
      <c r="M35" s="54"/>
      <c r="N35" s="54"/>
      <c r="O35" s="54"/>
      <c r="P35" s="54"/>
      <c r="Q35" s="54">
        <f>C35+B35</f>
        <v>2</v>
      </c>
      <c r="R35" s="54"/>
      <c r="S35" s="54"/>
      <c r="T35" s="54"/>
      <c r="U35" s="54"/>
      <c r="V35" s="54"/>
      <c r="W35" s="54"/>
      <c r="X35" s="54"/>
      <c r="Y35" s="54"/>
      <c r="Z35" s="54"/>
      <c r="AA35" s="54"/>
      <c r="AB35" s="54"/>
      <c r="AC35" s="54"/>
      <c r="AD35" s="54"/>
      <c r="AE35" s="54">
        <f>C35+D35</f>
        <v>0</v>
      </c>
      <c r="AF35" s="54"/>
      <c r="AG35" s="54"/>
      <c r="AH35" s="54"/>
      <c r="AI35" s="54"/>
      <c r="AJ35" s="54"/>
      <c r="AK35" s="54"/>
      <c r="AL35" s="54"/>
    </row>
    <row r="36" customHeight="1" spans="1:38">
      <c r="A36" s="55">
        <f t="shared" si="1"/>
        <v>32</v>
      </c>
      <c r="B36" s="54">
        <f>测试题!D38</f>
        <v>0</v>
      </c>
      <c r="C36" s="54">
        <f>测试题!E38</f>
        <v>0</v>
      </c>
      <c r="D36" s="54">
        <f>测试题!F38</f>
        <v>3</v>
      </c>
      <c r="E36" s="54"/>
      <c r="F36" s="54"/>
      <c r="G36" s="54"/>
      <c r="H36" s="54"/>
      <c r="I36" s="54">
        <f>C36+D36</f>
        <v>3</v>
      </c>
      <c r="J36" s="54"/>
      <c r="K36" s="54"/>
      <c r="L36" s="54"/>
      <c r="M36" s="54"/>
      <c r="N36" s="54"/>
      <c r="O36" s="54"/>
      <c r="P36" s="54">
        <f>C36+D36</f>
        <v>3</v>
      </c>
      <c r="Q36" s="54"/>
      <c r="R36" s="54"/>
      <c r="S36" s="54"/>
      <c r="T36" s="54"/>
      <c r="U36" s="54"/>
      <c r="V36" s="54"/>
      <c r="W36" s="54"/>
      <c r="X36" s="54"/>
      <c r="Y36" s="54"/>
      <c r="Z36" s="54"/>
      <c r="AA36" s="54"/>
      <c r="AB36" s="54"/>
      <c r="AC36" s="54"/>
      <c r="AD36" s="54"/>
      <c r="AE36" s="54">
        <f>C36+B36</f>
        <v>0</v>
      </c>
      <c r="AF36" s="54"/>
      <c r="AG36" s="54"/>
      <c r="AH36" s="54"/>
      <c r="AI36" s="54"/>
      <c r="AJ36" s="54"/>
      <c r="AK36" s="54">
        <f>C36+D36</f>
        <v>3</v>
      </c>
      <c r="AL36" s="54"/>
    </row>
    <row r="37" customHeight="1" spans="1:38">
      <c r="A37" s="55">
        <f t="shared" si="1"/>
        <v>33</v>
      </c>
      <c r="B37" s="54">
        <f>测试题!D39</f>
        <v>0</v>
      </c>
      <c r="C37" s="54">
        <f>测试题!E39</f>
        <v>1</v>
      </c>
      <c r="D37" s="54">
        <f>测试题!F39</f>
        <v>0</v>
      </c>
      <c r="E37" s="54"/>
      <c r="F37" s="54"/>
      <c r="G37" s="54"/>
      <c r="H37" s="54"/>
      <c r="I37" s="54">
        <f>C37+D37</f>
        <v>1</v>
      </c>
      <c r="J37" s="54"/>
      <c r="K37" s="54"/>
      <c r="L37" s="54"/>
      <c r="M37" s="54"/>
      <c r="N37" s="54"/>
      <c r="O37" s="54"/>
      <c r="P37" s="54"/>
      <c r="Q37" s="54">
        <f>C37+D37</f>
        <v>1</v>
      </c>
      <c r="R37" s="54"/>
      <c r="S37" s="54"/>
      <c r="T37" s="54"/>
      <c r="U37" s="54"/>
      <c r="V37" s="54"/>
      <c r="W37" s="54">
        <f>C37+B37</f>
        <v>1</v>
      </c>
      <c r="X37" s="54"/>
      <c r="Y37" s="54">
        <f>C37+B37</f>
        <v>1</v>
      </c>
      <c r="Z37" s="54"/>
      <c r="AA37" s="54"/>
      <c r="AB37" s="54"/>
      <c r="AC37" s="54"/>
      <c r="AD37" s="54"/>
      <c r="AE37" s="54"/>
      <c r="AF37" s="54"/>
      <c r="AG37" s="54"/>
      <c r="AH37" s="54">
        <f>C37+D37</f>
        <v>1</v>
      </c>
      <c r="AI37" s="54"/>
      <c r="AJ37" s="54"/>
      <c r="AK37" s="54"/>
      <c r="AL37" s="54">
        <f>C37+D37</f>
        <v>1</v>
      </c>
    </row>
    <row r="38" customHeight="1" spans="1:38">
      <c r="A38" s="55">
        <f t="shared" si="1"/>
        <v>34</v>
      </c>
      <c r="B38" s="54">
        <f>测试题!D40</f>
        <v>2</v>
      </c>
      <c r="C38" s="54">
        <f>测试题!E40</f>
        <v>0</v>
      </c>
      <c r="D38" s="54">
        <f>测试题!F40</f>
        <v>0</v>
      </c>
      <c r="E38" s="54"/>
      <c r="F38" s="54"/>
      <c r="G38" s="54">
        <f>C38+D38</f>
        <v>0</v>
      </c>
      <c r="H38" s="54"/>
      <c r="I38" s="54"/>
      <c r="J38" s="54"/>
      <c r="K38" s="54"/>
      <c r="L38" s="54"/>
      <c r="M38" s="54"/>
      <c r="N38" s="54"/>
      <c r="O38" s="54">
        <f>C38+B38</f>
        <v>2</v>
      </c>
      <c r="P38" s="54"/>
      <c r="Q38" s="54"/>
      <c r="R38" s="54"/>
      <c r="S38" s="54"/>
      <c r="T38" s="54"/>
      <c r="U38" s="54"/>
      <c r="V38" s="54"/>
      <c r="W38" s="54"/>
      <c r="X38" s="54"/>
      <c r="Y38" s="54"/>
      <c r="Z38" s="54"/>
      <c r="AA38" s="54"/>
      <c r="AB38" s="54"/>
      <c r="AC38" s="54"/>
      <c r="AD38" s="54"/>
      <c r="AE38" s="54"/>
      <c r="AF38" s="54"/>
      <c r="AG38" s="54"/>
      <c r="AH38" s="54"/>
      <c r="AI38" s="54"/>
      <c r="AJ38" s="54"/>
      <c r="AK38" s="54"/>
      <c r="AL38" s="54"/>
    </row>
    <row r="39" customHeight="1" spans="1:38">
      <c r="A39" s="55">
        <f t="shared" si="1"/>
        <v>35</v>
      </c>
      <c r="B39" s="54">
        <f>测试题!D41</f>
        <v>2</v>
      </c>
      <c r="C39" s="54">
        <f>测试题!E41</f>
        <v>0</v>
      </c>
      <c r="D39" s="54">
        <f>测试题!F41</f>
        <v>0</v>
      </c>
      <c r="E39" s="54"/>
      <c r="F39" s="54">
        <f>C39+D39</f>
        <v>0</v>
      </c>
      <c r="G39" s="54"/>
      <c r="H39" s="54"/>
      <c r="I39" s="54"/>
      <c r="J39" s="54"/>
      <c r="K39" s="54"/>
      <c r="L39" s="54"/>
      <c r="M39" s="54"/>
      <c r="N39" s="54"/>
      <c r="O39" s="54"/>
      <c r="P39" s="54"/>
      <c r="Q39" s="54"/>
      <c r="R39" s="54"/>
      <c r="S39" s="54"/>
      <c r="T39" s="54"/>
      <c r="U39" s="54"/>
      <c r="V39" s="54">
        <f>C39+B39</f>
        <v>2</v>
      </c>
      <c r="W39" s="54"/>
      <c r="X39" s="54"/>
      <c r="Y39" s="54"/>
      <c r="Z39" s="54"/>
      <c r="AA39" s="54"/>
      <c r="AB39" s="54"/>
      <c r="AC39" s="54"/>
      <c r="AD39" s="54"/>
      <c r="AE39" s="54"/>
      <c r="AF39" s="54"/>
      <c r="AG39" s="54"/>
      <c r="AH39" s="54"/>
      <c r="AI39" s="54"/>
      <c r="AJ39" s="54"/>
      <c r="AK39" s="54"/>
      <c r="AL39" s="54"/>
    </row>
    <row r="40" customHeight="1" spans="1:38">
      <c r="A40" s="55">
        <f t="shared" si="1"/>
        <v>36</v>
      </c>
      <c r="B40" s="54">
        <f>测试题!D42</f>
        <v>2</v>
      </c>
      <c r="C40" s="54">
        <f>测试题!E42</f>
        <v>0</v>
      </c>
      <c r="D40" s="54">
        <f>测试题!F42</f>
        <v>0</v>
      </c>
      <c r="E40" s="54"/>
      <c r="F40" s="54"/>
      <c r="G40" s="54">
        <f>C40+D40</f>
        <v>0</v>
      </c>
      <c r="H40" s="54"/>
      <c r="I40" s="54"/>
      <c r="J40" s="54">
        <f>C40+B40</f>
        <v>2</v>
      </c>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6">
        <f>C137+B137</f>
        <v>3</v>
      </c>
      <c r="AK40" s="54"/>
      <c r="AL40" s="54"/>
    </row>
    <row r="41" customHeight="1" spans="1:38">
      <c r="A41" s="55">
        <f t="shared" si="1"/>
        <v>37</v>
      </c>
      <c r="B41" s="54">
        <f>测试题!D43</f>
        <v>0</v>
      </c>
      <c r="C41" s="54">
        <f>测试题!E43</f>
        <v>0</v>
      </c>
      <c r="D41" s="54">
        <f>测试题!F43</f>
        <v>3</v>
      </c>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f>C41+D41</f>
        <v>3</v>
      </c>
      <c r="AH41" s="54"/>
      <c r="AI41" s="54"/>
      <c r="AJ41" s="54">
        <f>C41+B41</f>
        <v>0</v>
      </c>
      <c r="AK41" s="54"/>
      <c r="AL41" s="54"/>
    </row>
    <row r="42" customHeight="1" spans="1:38">
      <c r="A42" s="55">
        <f t="shared" si="1"/>
        <v>38</v>
      </c>
      <c r="B42" s="54">
        <f>测试题!D44</f>
        <v>0</v>
      </c>
      <c r="C42" s="54">
        <f>测试题!E44</f>
        <v>0</v>
      </c>
      <c r="D42" s="54">
        <f>测试题!F44</f>
        <v>3</v>
      </c>
      <c r="E42" s="54"/>
      <c r="F42" s="54">
        <f>C42+B42</f>
        <v>0</v>
      </c>
      <c r="G42" s="54"/>
      <c r="H42" s="54">
        <f>C42+D42</f>
        <v>3</v>
      </c>
      <c r="I42" s="54"/>
      <c r="J42" s="54"/>
      <c r="K42" s="54">
        <f>C42+B42</f>
        <v>0</v>
      </c>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row>
    <row r="43" customHeight="1" spans="1:38">
      <c r="A43" s="55">
        <f t="shared" si="1"/>
        <v>39</v>
      </c>
      <c r="B43" s="54">
        <f>测试题!D45</f>
        <v>0</v>
      </c>
      <c r="C43" s="54">
        <f>测试题!E45</f>
        <v>0</v>
      </c>
      <c r="D43" s="54">
        <f>测试题!F45</f>
        <v>2</v>
      </c>
      <c r="E43" s="54"/>
      <c r="F43" s="54"/>
      <c r="G43" s="54"/>
      <c r="H43" s="54"/>
      <c r="I43" s="54"/>
      <c r="J43" s="54"/>
      <c r="K43" s="54"/>
      <c r="L43" s="54">
        <f>C43+B43</f>
        <v>0</v>
      </c>
      <c r="M43" s="54"/>
      <c r="N43" s="54"/>
      <c r="O43" s="54"/>
      <c r="P43" s="54"/>
      <c r="Q43" s="54"/>
      <c r="R43" s="54"/>
      <c r="S43" s="54">
        <f>C43+B43</f>
        <v>0</v>
      </c>
      <c r="T43" s="54"/>
      <c r="U43" s="54"/>
      <c r="V43" s="54"/>
      <c r="W43" s="54"/>
      <c r="X43" s="54"/>
      <c r="Y43" s="54"/>
      <c r="Z43" s="54"/>
      <c r="AA43" s="54"/>
      <c r="AB43" s="54"/>
      <c r="AC43" s="54"/>
      <c r="AD43" s="54"/>
      <c r="AE43" s="54"/>
      <c r="AF43" s="54"/>
      <c r="AG43" s="54"/>
      <c r="AH43" s="54"/>
      <c r="AI43" s="54"/>
      <c r="AJ43" s="54"/>
      <c r="AK43" s="54"/>
      <c r="AL43" s="54">
        <f>C43+D43</f>
        <v>2</v>
      </c>
    </row>
    <row r="44" customHeight="1" spans="1:38">
      <c r="A44" s="55">
        <f t="shared" si="1"/>
        <v>40</v>
      </c>
      <c r="B44" s="54">
        <f>测试题!D46</f>
        <v>0</v>
      </c>
      <c r="C44" s="54">
        <f>测试题!E46</f>
        <v>0</v>
      </c>
      <c r="D44" s="54">
        <f>测试题!F46</f>
        <v>2</v>
      </c>
      <c r="E44" s="54"/>
      <c r="F44" s="54">
        <f>C44+D44</f>
        <v>2</v>
      </c>
      <c r="G44" s="54"/>
      <c r="H44" s="54"/>
      <c r="I44" s="54"/>
      <c r="J44" s="54"/>
      <c r="K44" s="54"/>
      <c r="L44" s="54"/>
      <c r="M44" s="54"/>
      <c r="N44" s="54"/>
      <c r="O44" s="54"/>
      <c r="P44" s="54"/>
      <c r="Q44" s="54"/>
      <c r="R44" s="54"/>
      <c r="S44" s="54"/>
      <c r="T44" s="54"/>
      <c r="U44" s="54"/>
      <c r="V44" s="54"/>
      <c r="W44" s="54"/>
      <c r="X44" s="54">
        <f>C44+B44</f>
        <v>0</v>
      </c>
      <c r="Y44" s="54"/>
      <c r="Z44" s="54"/>
      <c r="AA44" s="54"/>
      <c r="AB44" s="54"/>
      <c r="AC44" s="54"/>
      <c r="AD44" s="54"/>
      <c r="AE44" s="54"/>
      <c r="AF44" s="54"/>
      <c r="AG44" s="54"/>
      <c r="AH44" s="54"/>
      <c r="AI44" s="54"/>
      <c r="AJ44" s="54"/>
      <c r="AK44" s="54"/>
      <c r="AL44" s="54"/>
    </row>
    <row r="45" customHeight="1" spans="1:38">
      <c r="A45" s="55">
        <f t="shared" si="1"/>
        <v>41</v>
      </c>
      <c r="B45" s="54">
        <f>测试题!D47</f>
        <v>2</v>
      </c>
      <c r="C45" s="54">
        <f>测试题!E47</f>
        <v>0</v>
      </c>
      <c r="D45" s="54">
        <f>测试题!F47</f>
        <v>0</v>
      </c>
      <c r="E45" s="54"/>
      <c r="F45" s="54"/>
      <c r="G45" s="54"/>
      <c r="H45" s="54"/>
      <c r="I45" s="54"/>
      <c r="J45" s="54"/>
      <c r="K45" s="54"/>
      <c r="L45" s="54"/>
      <c r="M45" s="54"/>
      <c r="N45" s="54"/>
      <c r="O45" s="54"/>
      <c r="P45" s="54"/>
      <c r="Q45" s="54"/>
      <c r="R45" s="54"/>
      <c r="S45" s="54"/>
      <c r="T45" s="54"/>
      <c r="U45" s="54"/>
      <c r="V45" s="54"/>
      <c r="W45" s="54"/>
      <c r="X45" s="54"/>
      <c r="Y45" s="54"/>
      <c r="Z45" s="54">
        <f>C45+B45</f>
        <v>2</v>
      </c>
      <c r="AA45" s="54"/>
      <c r="AB45" s="54"/>
      <c r="AC45" s="54"/>
      <c r="AD45" s="54"/>
      <c r="AE45" s="54">
        <f>C45+D45</f>
        <v>0</v>
      </c>
      <c r="AF45" s="54"/>
      <c r="AG45" s="54"/>
      <c r="AH45" s="54"/>
      <c r="AI45" s="54"/>
      <c r="AJ45" s="54"/>
      <c r="AK45" s="54"/>
      <c r="AL45" s="54"/>
    </row>
    <row r="46" customHeight="1" spans="1:38">
      <c r="A46" s="55">
        <f t="shared" si="1"/>
        <v>42</v>
      </c>
      <c r="B46" s="54">
        <f>测试题!D48</f>
        <v>2</v>
      </c>
      <c r="C46" s="54">
        <f>测试题!E48</f>
        <v>0</v>
      </c>
      <c r="D46" s="54">
        <f>测试题!F48</f>
        <v>0</v>
      </c>
      <c r="E46" s="54"/>
      <c r="F46" s="54"/>
      <c r="G46" s="54">
        <f>C46+B46</f>
        <v>2</v>
      </c>
      <c r="H46" s="54">
        <f>C46+D46</f>
        <v>0</v>
      </c>
      <c r="I46" s="54"/>
      <c r="J46" s="54"/>
      <c r="K46" s="54"/>
      <c r="L46" s="54"/>
      <c r="M46" s="54"/>
      <c r="N46" s="54"/>
      <c r="O46" s="54"/>
      <c r="P46" s="54">
        <f>C46+D46</f>
        <v>0</v>
      </c>
      <c r="Q46" s="54"/>
      <c r="R46" s="54"/>
      <c r="S46" s="54"/>
      <c r="T46" s="54"/>
      <c r="U46" s="54"/>
      <c r="V46" s="54"/>
      <c r="W46" s="54"/>
      <c r="X46" s="54"/>
      <c r="Y46" s="54"/>
      <c r="Z46" s="54"/>
      <c r="AA46" s="54">
        <f>C46+D46</f>
        <v>0</v>
      </c>
      <c r="AB46" s="54"/>
      <c r="AC46" s="54"/>
      <c r="AD46" s="54"/>
      <c r="AE46" s="54"/>
      <c r="AF46" s="54"/>
      <c r="AG46" s="54"/>
      <c r="AH46" s="54"/>
      <c r="AI46" s="54">
        <f>C46+B46</f>
        <v>2</v>
      </c>
      <c r="AJ46" s="54"/>
      <c r="AK46" s="54"/>
      <c r="AL46" s="54"/>
    </row>
    <row r="47" customHeight="1" spans="1:38">
      <c r="A47" s="55">
        <f t="shared" si="1"/>
        <v>43</v>
      </c>
      <c r="B47" s="54">
        <f>测试题!D49</f>
        <v>0</v>
      </c>
      <c r="C47" s="54">
        <f>测试题!E49</f>
        <v>0</v>
      </c>
      <c r="D47" s="54">
        <f>测试题!F49</f>
        <v>2</v>
      </c>
      <c r="E47" s="54"/>
      <c r="F47" s="54"/>
      <c r="G47" s="54"/>
      <c r="H47" s="54">
        <f>C47+B47</f>
        <v>0</v>
      </c>
      <c r="I47" s="54"/>
      <c r="J47" s="54"/>
      <c r="K47" s="54"/>
      <c r="L47" s="54"/>
      <c r="M47" s="54"/>
      <c r="N47" s="54">
        <f>C47+D47</f>
        <v>2</v>
      </c>
      <c r="O47" s="54"/>
      <c r="P47" s="54">
        <f>C47+B47</f>
        <v>0</v>
      </c>
      <c r="Q47" s="54"/>
      <c r="R47" s="54"/>
      <c r="S47" s="54"/>
      <c r="T47" s="54"/>
      <c r="U47" s="54"/>
      <c r="V47" s="54"/>
      <c r="W47" s="54"/>
      <c r="X47" s="54"/>
      <c r="Y47" s="54"/>
      <c r="Z47" s="54"/>
      <c r="AA47" s="54"/>
      <c r="AB47" s="54"/>
      <c r="AC47" s="54"/>
      <c r="AD47" s="54"/>
      <c r="AE47" s="54"/>
      <c r="AF47" s="54"/>
      <c r="AG47" s="54"/>
      <c r="AH47" s="54"/>
      <c r="AI47" s="54"/>
      <c r="AJ47" s="54"/>
      <c r="AK47" s="54"/>
      <c r="AL47" s="54"/>
    </row>
    <row r="48" customHeight="1" spans="1:38">
      <c r="A48" s="55">
        <f t="shared" si="1"/>
        <v>44</v>
      </c>
      <c r="B48" s="54">
        <f>测试题!D50</f>
        <v>0</v>
      </c>
      <c r="C48" s="54">
        <f>测试题!E50</f>
        <v>0</v>
      </c>
      <c r="D48" s="54">
        <f>测试题!F50</f>
        <v>3</v>
      </c>
      <c r="E48" s="54"/>
      <c r="F48" s="54"/>
      <c r="G48" s="54"/>
      <c r="H48" s="54"/>
      <c r="I48" s="54"/>
      <c r="J48" s="54"/>
      <c r="K48" s="54"/>
      <c r="L48" s="54">
        <f>C48+B48</f>
        <v>0</v>
      </c>
      <c r="M48" s="54"/>
      <c r="N48" s="54"/>
      <c r="O48" s="54"/>
      <c r="P48" s="54"/>
      <c r="Q48" s="54"/>
      <c r="R48" s="54"/>
      <c r="S48" s="54"/>
      <c r="T48" s="54"/>
      <c r="U48" s="54"/>
      <c r="V48" s="54"/>
      <c r="W48" s="54"/>
      <c r="X48" s="54"/>
      <c r="Y48" s="54"/>
      <c r="Z48" s="54"/>
      <c r="AA48" s="54"/>
      <c r="AB48" s="54"/>
      <c r="AC48" s="54"/>
      <c r="AD48" s="54"/>
      <c r="AE48" s="54"/>
      <c r="AF48" s="54"/>
      <c r="AG48" s="54"/>
      <c r="AH48" s="54">
        <f>C48+D48</f>
        <v>3</v>
      </c>
      <c r="AI48" s="54"/>
      <c r="AJ48" s="54"/>
      <c r="AK48" s="54">
        <f>C48+D48</f>
        <v>3</v>
      </c>
      <c r="AL48" s="54"/>
    </row>
    <row r="49" customHeight="1" spans="1:38">
      <c r="A49" s="55">
        <f t="shared" si="1"/>
        <v>45</v>
      </c>
      <c r="B49" s="54">
        <f>测试题!D51</f>
        <v>0</v>
      </c>
      <c r="C49" s="54">
        <f>测试题!E51</f>
        <v>0</v>
      </c>
      <c r="D49" s="54">
        <f>测试题!F51</f>
        <v>3</v>
      </c>
      <c r="E49" s="54"/>
      <c r="F49" s="54">
        <f>C49+B49</f>
        <v>0</v>
      </c>
      <c r="G49" s="54"/>
      <c r="H49" s="54"/>
      <c r="I49" s="54"/>
      <c r="J49" s="54"/>
      <c r="K49" s="54"/>
      <c r="L49" s="54"/>
      <c r="M49" s="54"/>
      <c r="N49" s="54"/>
      <c r="O49" s="54"/>
      <c r="P49" s="54"/>
      <c r="Q49" s="54"/>
      <c r="R49" s="54"/>
      <c r="S49" s="54"/>
      <c r="T49" s="54"/>
      <c r="U49" s="54"/>
      <c r="V49" s="54"/>
      <c r="W49" s="54"/>
      <c r="X49" s="54"/>
      <c r="Y49" s="54"/>
      <c r="Z49" s="54"/>
      <c r="AA49" s="54"/>
      <c r="AB49" s="54">
        <f>C49+D49</f>
        <v>3</v>
      </c>
      <c r="AC49" s="54"/>
      <c r="AD49" s="54"/>
      <c r="AE49" s="54"/>
      <c r="AF49" s="54"/>
      <c r="AG49" s="54"/>
      <c r="AH49" s="54"/>
      <c r="AI49" s="54"/>
      <c r="AJ49" s="54"/>
      <c r="AK49" s="54"/>
      <c r="AL49" s="54"/>
    </row>
    <row r="50" customHeight="1" spans="1:38">
      <c r="A50" s="55">
        <f t="shared" si="1"/>
        <v>46</v>
      </c>
      <c r="B50" s="54">
        <f>测试题!D52</f>
        <v>0</v>
      </c>
      <c r="C50" s="54">
        <f>测试题!E52</f>
        <v>1</v>
      </c>
      <c r="D50" s="54">
        <f>测试题!F52</f>
        <v>0</v>
      </c>
      <c r="E50" s="54">
        <f>C50+D50</f>
        <v>1</v>
      </c>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f>C50+B50</f>
        <v>1</v>
      </c>
      <c r="AJ50" s="54"/>
      <c r="AK50" s="54"/>
      <c r="AL50" s="54"/>
    </row>
    <row r="51" customHeight="1" spans="1:38">
      <c r="A51" s="55">
        <f t="shared" si="1"/>
        <v>47</v>
      </c>
      <c r="B51" s="54">
        <f>测试题!D53</f>
        <v>0</v>
      </c>
      <c r="C51" s="54">
        <f>测试题!E53</f>
        <v>0</v>
      </c>
      <c r="D51" s="54">
        <f>测试题!F53</f>
        <v>2</v>
      </c>
      <c r="E51" s="54"/>
      <c r="F51" s="54">
        <f>C51+B51</f>
        <v>0</v>
      </c>
      <c r="G51" s="54"/>
      <c r="H51" s="54"/>
      <c r="I51" s="54"/>
      <c r="J51" s="54"/>
      <c r="K51" s="54"/>
      <c r="L51" s="54"/>
      <c r="M51" s="54"/>
      <c r="N51" s="54"/>
      <c r="O51" s="54"/>
      <c r="P51" s="54"/>
      <c r="Q51" s="54"/>
      <c r="R51" s="54"/>
      <c r="S51" s="54"/>
      <c r="T51" s="54"/>
      <c r="U51" s="54"/>
      <c r="V51" s="54"/>
      <c r="W51" s="54"/>
      <c r="X51" s="54">
        <f>C51+D51</f>
        <v>2</v>
      </c>
      <c r="Y51" s="54"/>
      <c r="Z51" s="54"/>
      <c r="AA51" s="54"/>
      <c r="AB51" s="54">
        <f>C51+D51</f>
        <v>2</v>
      </c>
      <c r="AC51" s="54"/>
      <c r="AD51" s="54"/>
      <c r="AE51" s="54"/>
      <c r="AF51" s="54"/>
      <c r="AG51" s="54"/>
      <c r="AH51" s="54"/>
      <c r="AI51" s="54"/>
      <c r="AJ51" s="54"/>
      <c r="AK51" s="54"/>
      <c r="AL51" s="54"/>
    </row>
    <row r="52" customHeight="1" spans="1:38">
      <c r="A52" s="55">
        <f t="shared" si="1"/>
        <v>48</v>
      </c>
      <c r="B52" s="54">
        <f>测试题!D54</f>
        <v>0</v>
      </c>
      <c r="C52" s="54">
        <f>测试题!E54</f>
        <v>0</v>
      </c>
      <c r="D52" s="54">
        <f>测试题!F54</f>
        <v>2</v>
      </c>
      <c r="E52" s="54"/>
      <c r="F52" s="54">
        <f>C52+B52</f>
        <v>0</v>
      </c>
      <c r="G52" s="54"/>
      <c r="H52" s="54"/>
      <c r="I52" s="54"/>
      <c r="J52" s="54"/>
      <c r="K52" s="54">
        <f>C52+D52</f>
        <v>2</v>
      </c>
      <c r="L52" s="54"/>
      <c r="M52" s="54"/>
      <c r="N52" s="54"/>
      <c r="O52" s="54"/>
      <c r="P52" s="54"/>
      <c r="Q52" s="54"/>
      <c r="R52" s="54"/>
      <c r="S52" s="54"/>
      <c r="T52" s="54"/>
      <c r="U52" s="54"/>
      <c r="V52" s="54"/>
      <c r="W52" s="54"/>
      <c r="X52" s="54"/>
      <c r="Y52" s="54"/>
      <c r="Z52" s="54"/>
      <c r="AA52" s="54"/>
      <c r="AB52" s="54"/>
      <c r="AC52" s="54"/>
      <c r="AD52" s="54"/>
      <c r="AE52" s="54"/>
      <c r="AF52" s="54"/>
      <c r="AG52" s="54"/>
      <c r="AH52" s="54"/>
      <c r="AI52" s="54">
        <f>C52+D52</f>
        <v>2</v>
      </c>
      <c r="AJ52" s="54"/>
      <c r="AK52" s="54"/>
      <c r="AL52" s="54"/>
    </row>
    <row r="53" customHeight="1" spans="1:38">
      <c r="A53" s="55">
        <f t="shared" si="1"/>
        <v>49</v>
      </c>
      <c r="B53" s="54">
        <f>测试题!D55</f>
        <v>0</v>
      </c>
      <c r="C53" s="54">
        <f>测试题!E55</f>
        <v>0</v>
      </c>
      <c r="D53" s="54">
        <f>测试题!F55</f>
        <v>3</v>
      </c>
      <c r="E53" s="54"/>
      <c r="F53" s="54"/>
      <c r="G53" s="54"/>
      <c r="H53" s="54"/>
      <c r="I53" s="54"/>
      <c r="J53" s="54"/>
      <c r="K53" s="54"/>
      <c r="L53" s="54"/>
      <c r="M53" s="54"/>
      <c r="N53" s="54"/>
      <c r="O53" s="54"/>
      <c r="P53" s="54"/>
      <c r="Q53" s="54"/>
      <c r="R53" s="54"/>
      <c r="S53" s="54"/>
      <c r="T53" s="54"/>
      <c r="U53" s="54"/>
      <c r="V53" s="54"/>
      <c r="W53" s="54"/>
      <c r="X53" s="54"/>
      <c r="Y53" s="54"/>
      <c r="Z53" s="54"/>
      <c r="AA53" s="54">
        <f>C53+D53</f>
        <v>3</v>
      </c>
      <c r="AB53" s="54">
        <f>C53+D53</f>
        <v>3</v>
      </c>
      <c r="AC53" s="54">
        <f>C53+D53</f>
        <v>3</v>
      </c>
      <c r="AD53" s="54"/>
      <c r="AE53" s="54"/>
      <c r="AF53" s="54">
        <f>C53+B53</f>
        <v>0</v>
      </c>
      <c r="AG53" s="54"/>
      <c r="AH53" s="54"/>
      <c r="AI53" s="54"/>
      <c r="AJ53" s="54"/>
      <c r="AK53" s="54"/>
      <c r="AL53" s="54"/>
    </row>
    <row r="54" customHeight="1" spans="1:38">
      <c r="A54" s="55">
        <f t="shared" si="1"/>
        <v>50</v>
      </c>
      <c r="B54" s="54">
        <f>测试题!D56</f>
        <v>2</v>
      </c>
      <c r="C54" s="54">
        <f>测试题!E56</f>
        <v>0</v>
      </c>
      <c r="D54" s="54">
        <f>测试题!F56</f>
        <v>0</v>
      </c>
      <c r="E54" s="54"/>
      <c r="F54" s="54"/>
      <c r="G54" s="54">
        <f>C54+D54</f>
        <v>0</v>
      </c>
      <c r="H54" s="54"/>
      <c r="I54" s="54"/>
      <c r="J54" s="54"/>
      <c r="K54" s="54"/>
      <c r="L54" s="54"/>
      <c r="M54" s="54"/>
      <c r="N54" s="54"/>
      <c r="O54" s="54"/>
      <c r="P54" s="56"/>
      <c r="Q54" s="54"/>
      <c r="R54" s="54">
        <f>C54+B54</f>
        <v>2</v>
      </c>
      <c r="S54" s="54"/>
      <c r="T54" s="54"/>
      <c r="U54" s="54"/>
      <c r="V54" s="54"/>
      <c r="W54" s="54">
        <f>C54+D54</f>
        <v>0</v>
      </c>
      <c r="X54" s="54"/>
      <c r="Y54" s="54"/>
      <c r="Z54" s="54"/>
      <c r="AA54" s="54"/>
      <c r="AB54" s="54"/>
      <c r="AC54" s="54"/>
      <c r="AD54" s="54"/>
      <c r="AE54" s="54"/>
      <c r="AF54" s="54"/>
      <c r="AG54" s="54"/>
      <c r="AH54" s="54"/>
      <c r="AI54" s="54"/>
      <c r="AJ54" s="54"/>
      <c r="AK54" s="54"/>
      <c r="AL54" s="54"/>
    </row>
    <row r="55" customHeight="1" spans="1:38">
      <c r="A55" s="55">
        <f t="shared" si="1"/>
        <v>51</v>
      </c>
      <c r="B55" s="54">
        <f>测试题!D57</f>
        <v>2</v>
      </c>
      <c r="C55" s="54">
        <f>测试题!E57</f>
        <v>0</v>
      </c>
      <c r="D55" s="54">
        <f>测试题!F57</f>
        <v>0</v>
      </c>
      <c r="E55" s="54"/>
      <c r="F55" s="54"/>
      <c r="G55" s="54"/>
      <c r="H55" s="54"/>
      <c r="I55" s="54"/>
      <c r="J55" s="54"/>
      <c r="K55" s="54"/>
      <c r="L55" s="54"/>
      <c r="M55" s="54"/>
      <c r="N55" s="54"/>
      <c r="O55" s="54"/>
      <c r="P55" s="54">
        <f>C55+D55</f>
        <v>0</v>
      </c>
      <c r="Q55" s="54"/>
      <c r="R55" s="54"/>
      <c r="S55" s="54"/>
      <c r="T55" s="54"/>
      <c r="U55" s="54"/>
      <c r="V55" s="54">
        <f>C55+B55</f>
        <v>2</v>
      </c>
      <c r="W55" s="54"/>
      <c r="X55" s="54"/>
      <c r="Y55" s="54"/>
      <c r="Z55" s="54"/>
      <c r="AA55" s="54"/>
      <c r="AB55" s="54"/>
      <c r="AC55" s="54"/>
      <c r="AD55" s="54"/>
      <c r="AE55" s="54"/>
      <c r="AF55" s="54"/>
      <c r="AG55" s="54"/>
      <c r="AH55" s="54"/>
      <c r="AI55" s="54"/>
      <c r="AJ55" s="54"/>
      <c r="AK55" s="54">
        <f>C55+D55</f>
        <v>0</v>
      </c>
      <c r="AL55" s="54"/>
    </row>
    <row r="56" customHeight="1" spans="1:38">
      <c r="A56" s="55">
        <f t="shared" si="1"/>
        <v>52</v>
      </c>
      <c r="B56" s="54">
        <f>测试题!D58</f>
        <v>0</v>
      </c>
      <c r="C56" s="54">
        <f>测试题!E58</f>
        <v>0</v>
      </c>
      <c r="D56" s="54">
        <f>测试题!F58</f>
        <v>2</v>
      </c>
      <c r="E56" s="54"/>
      <c r="F56" s="54"/>
      <c r="G56" s="54"/>
      <c r="H56" s="54"/>
      <c r="I56" s="54"/>
      <c r="J56" s="54"/>
      <c r="K56" s="54"/>
      <c r="L56" s="54"/>
      <c r="M56" s="54"/>
      <c r="N56" s="54"/>
      <c r="O56" s="54"/>
      <c r="P56" s="54">
        <f>C56+D56</f>
        <v>2</v>
      </c>
      <c r="Q56" s="54"/>
      <c r="R56" s="54"/>
      <c r="S56" s="54"/>
      <c r="T56" s="54">
        <f>C56+B56</f>
        <v>0</v>
      </c>
      <c r="U56" s="54"/>
      <c r="V56" s="54"/>
      <c r="W56" s="54">
        <f>C56+B56</f>
        <v>0</v>
      </c>
      <c r="X56" s="54"/>
      <c r="Y56" s="54"/>
      <c r="Z56" s="54"/>
      <c r="AA56" s="54"/>
      <c r="AB56" s="54"/>
      <c r="AC56" s="54"/>
      <c r="AD56" s="54"/>
      <c r="AE56" s="54"/>
      <c r="AF56" s="54"/>
      <c r="AG56" s="54"/>
      <c r="AH56" s="54"/>
      <c r="AI56" s="54"/>
      <c r="AJ56" s="54"/>
      <c r="AK56" s="54"/>
      <c r="AL56" s="54"/>
    </row>
    <row r="57" customHeight="1" spans="1:38">
      <c r="A57" s="55">
        <f t="shared" si="1"/>
        <v>53</v>
      </c>
      <c r="B57" s="54">
        <f>测试题!D59</f>
        <v>0</v>
      </c>
      <c r="C57" s="54">
        <f>测试题!E59</f>
        <v>0</v>
      </c>
      <c r="D57" s="54">
        <f>测试题!F59</f>
        <v>2</v>
      </c>
      <c r="E57" s="54"/>
      <c r="F57" s="54"/>
      <c r="G57" s="54"/>
      <c r="H57" s="54"/>
      <c r="I57" s="54"/>
      <c r="J57" s="54"/>
      <c r="K57" s="54"/>
      <c r="L57" s="54"/>
      <c r="M57" s="54">
        <f>C57+D57</f>
        <v>2</v>
      </c>
      <c r="N57" s="54">
        <f>C57+B57</f>
        <v>0</v>
      </c>
      <c r="O57" s="54"/>
      <c r="P57" s="54"/>
      <c r="Q57" s="54"/>
      <c r="R57" s="54"/>
      <c r="S57" s="54"/>
      <c r="T57" s="54"/>
      <c r="U57" s="54"/>
      <c r="V57" s="54"/>
      <c r="W57" s="54"/>
      <c r="X57" s="54"/>
      <c r="Y57" s="54"/>
      <c r="Z57" s="54"/>
      <c r="AA57" s="54"/>
      <c r="AB57" s="54"/>
      <c r="AC57" s="54"/>
      <c r="AD57" s="54"/>
      <c r="AE57" s="54"/>
      <c r="AF57" s="54"/>
      <c r="AG57" s="54"/>
      <c r="AH57" s="54"/>
      <c r="AI57" s="54"/>
      <c r="AJ57" s="54">
        <f>C57+D57</f>
        <v>2</v>
      </c>
      <c r="AK57" s="54"/>
      <c r="AL57" s="54"/>
    </row>
    <row r="58" customHeight="1" spans="1:38">
      <c r="A58" s="55">
        <f t="shared" si="1"/>
        <v>54</v>
      </c>
      <c r="B58" s="54">
        <f>测试题!D60</f>
        <v>0</v>
      </c>
      <c r="C58" s="54">
        <f>测试题!E60</f>
        <v>0</v>
      </c>
      <c r="D58" s="54">
        <f>测试题!F60</f>
        <v>3</v>
      </c>
      <c r="E58" s="54"/>
      <c r="F58" s="54"/>
      <c r="G58" s="54"/>
      <c r="H58" s="54"/>
      <c r="I58" s="54"/>
      <c r="J58" s="54"/>
      <c r="K58" s="54"/>
      <c r="L58" s="54"/>
      <c r="M58" s="54"/>
      <c r="N58" s="54"/>
      <c r="O58" s="54">
        <f>C58+B58</f>
        <v>0</v>
      </c>
      <c r="P58" s="54"/>
      <c r="Q58" s="54"/>
      <c r="R58" s="54"/>
      <c r="S58" s="54"/>
      <c r="T58" s="54"/>
      <c r="U58" s="54"/>
      <c r="V58" s="54">
        <f>C58+D58</f>
        <v>3</v>
      </c>
      <c r="W58" s="54"/>
      <c r="X58" s="54"/>
      <c r="Y58" s="54"/>
      <c r="Z58" s="54"/>
      <c r="AA58" s="54"/>
      <c r="AB58" s="54"/>
      <c r="AC58" s="54"/>
      <c r="AD58" s="54"/>
      <c r="AE58" s="54"/>
      <c r="AF58" s="54"/>
      <c r="AG58" s="54"/>
      <c r="AH58" s="54"/>
      <c r="AI58" s="54"/>
      <c r="AJ58" s="54"/>
      <c r="AK58" s="54"/>
      <c r="AL58" s="54"/>
    </row>
    <row r="59" customHeight="1" spans="1:38">
      <c r="A59" s="55">
        <f t="shared" si="1"/>
        <v>55</v>
      </c>
      <c r="B59" s="54">
        <f>测试题!D61</f>
        <v>3</v>
      </c>
      <c r="C59" s="54">
        <f>测试题!E61</f>
        <v>0</v>
      </c>
      <c r="D59" s="54">
        <f>测试题!F61</f>
        <v>0</v>
      </c>
      <c r="E59" s="54"/>
      <c r="F59" s="54"/>
      <c r="G59" s="54"/>
      <c r="H59" s="54">
        <f>C59+B59</f>
        <v>3</v>
      </c>
      <c r="I59" s="54"/>
      <c r="J59" s="54"/>
      <c r="K59" s="54"/>
      <c r="L59" s="54"/>
      <c r="M59" s="54"/>
      <c r="N59" s="54"/>
      <c r="O59" s="54">
        <f>C59+B59</f>
        <v>3</v>
      </c>
      <c r="P59" s="54"/>
      <c r="Q59" s="54"/>
      <c r="R59" s="54"/>
      <c r="S59" s="54"/>
      <c r="T59" s="54"/>
      <c r="U59" s="54"/>
      <c r="V59" s="54">
        <f>C59+D59</f>
        <v>0</v>
      </c>
      <c r="W59" s="54"/>
      <c r="X59" s="54"/>
      <c r="Y59" s="54"/>
      <c r="Z59" s="54"/>
      <c r="AA59" s="54"/>
      <c r="AB59" s="54">
        <f>C59+B59</f>
        <v>3</v>
      </c>
      <c r="AC59" s="56"/>
      <c r="AD59" s="54">
        <f>C59+B59</f>
        <v>3</v>
      </c>
      <c r="AE59" s="54">
        <f>C59+D59</f>
        <v>0</v>
      </c>
      <c r="AF59" s="54"/>
      <c r="AG59" s="54"/>
      <c r="AH59" s="54"/>
      <c r="AI59" s="54"/>
      <c r="AJ59" s="54"/>
      <c r="AK59" s="54"/>
      <c r="AL59" s="54"/>
    </row>
    <row r="60" customHeight="1" spans="1:38">
      <c r="A60" s="55">
        <f t="shared" si="1"/>
        <v>56</v>
      </c>
      <c r="B60" s="54">
        <f>测试题!D62</f>
        <v>3</v>
      </c>
      <c r="C60" s="54">
        <f>测试题!E62</f>
        <v>0</v>
      </c>
      <c r="D60" s="54">
        <f>测试题!F62</f>
        <v>0</v>
      </c>
      <c r="E60" s="54"/>
      <c r="F60" s="54"/>
      <c r="G60" s="54"/>
      <c r="H60" s="54"/>
      <c r="I60" s="54"/>
      <c r="J60" s="54"/>
      <c r="K60" s="54"/>
      <c r="L60" s="54"/>
      <c r="M60" s="54"/>
      <c r="N60" s="54"/>
      <c r="O60" s="54">
        <f>C60+D60</f>
        <v>0</v>
      </c>
      <c r="P60" s="54"/>
      <c r="Q60" s="54"/>
      <c r="R60" s="54"/>
      <c r="S60" s="54"/>
      <c r="T60" s="54"/>
      <c r="U60" s="54"/>
      <c r="V60" s="54"/>
      <c r="W60" s="54"/>
      <c r="X60" s="54"/>
      <c r="Y60" s="54"/>
      <c r="Z60" s="54"/>
      <c r="AA60" s="54"/>
      <c r="AB60" s="54"/>
      <c r="AC60" s="54"/>
      <c r="AD60" s="54">
        <f>C60+D60</f>
        <v>0</v>
      </c>
      <c r="AE60" s="54"/>
      <c r="AF60" s="54"/>
      <c r="AG60" s="54"/>
      <c r="AH60" s="54"/>
      <c r="AI60" s="54"/>
      <c r="AJ60" s="54"/>
      <c r="AK60" s="54"/>
      <c r="AL60" s="54"/>
    </row>
    <row r="61" customHeight="1" spans="1:38">
      <c r="A61" s="55">
        <f t="shared" si="1"/>
        <v>57</v>
      </c>
      <c r="B61" s="54">
        <f>测试题!D63</f>
        <v>2</v>
      </c>
      <c r="C61" s="54">
        <f>测试题!E63</f>
        <v>0</v>
      </c>
      <c r="D61" s="54">
        <f>测试题!F63</f>
        <v>0</v>
      </c>
      <c r="E61" s="54"/>
      <c r="F61" s="54"/>
      <c r="G61" s="54">
        <f>C61+D61</f>
        <v>0</v>
      </c>
      <c r="H61" s="54"/>
      <c r="I61" s="54"/>
      <c r="J61" s="54"/>
      <c r="K61" s="54"/>
      <c r="L61" s="54"/>
      <c r="M61" s="54"/>
      <c r="N61" s="54"/>
      <c r="O61" s="54"/>
      <c r="P61" s="56"/>
      <c r="Q61" s="54"/>
      <c r="R61" s="54">
        <f>C61+B61</f>
        <v>2</v>
      </c>
      <c r="S61" s="54"/>
      <c r="T61" s="54"/>
      <c r="U61" s="54"/>
      <c r="V61" s="54"/>
      <c r="W61" s="54"/>
      <c r="X61" s="54"/>
      <c r="Y61" s="54"/>
      <c r="Z61" s="54"/>
      <c r="AA61" s="54"/>
      <c r="AB61" s="54"/>
      <c r="AC61" s="54"/>
      <c r="AD61" s="54"/>
      <c r="AE61" s="54"/>
      <c r="AF61" s="54"/>
      <c r="AG61" s="54"/>
      <c r="AH61" s="54"/>
      <c r="AI61" s="54"/>
      <c r="AJ61" s="54"/>
      <c r="AK61" s="54"/>
      <c r="AL61" s="54"/>
    </row>
    <row r="62" customHeight="1" spans="1:38">
      <c r="A62" s="55">
        <f t="shared" si="1"/>
        <v>58</v>
      </c>
      <c r="B62" s="54">
        <f>测试题!D64</f>
        <v>3</v>
      </c>
      <c r="C62" s="54">
        <f>测试题!E64</f>
        <v>0</v>
      </c>
      <c r="D62" s="54">
        <f>测试题!F64</f>
        <v>0</v>
      </c>
      <c r="E62" s="54"/>
      <c r="F62" s="54"/>
      <c r="G62" s="54"/>
      <c r="H62" s="54"/>
      <c r="I62" s="54"/>
      <c r="J62" s="54"/>
      <c r="K62" s="54"/>
      <c r="L62" s="54"/>
      <c r="M62" s="54"/>
      <c r="N62" s="54"/>
      <c r="O62" s="54"/>
      <c r="P62" s="54"/>
      <c r="Q62" s="54"/>
      <c r="R62" s="54">
        <f>C62+D62</f>
        <v>0</v>
      </c>
      <c r="S62" s="54"/>
      <c r="T62" s="54">
        <f>C62+D62</f>
        <v>0</v>
      </c>
      <c r="U62" s="54"/>
      <c r="V62" s="54"/>
      <c r="W62" s="54"/>
      <c r="X62" s="54"/>
      <c r="Y62" s="54"/>
      <c r="Z62" s="54">
        <f>C62+B62</f>
        <v>3</v>
      </c>
      <c r="AA62" s="54"/>
      <c r="AB62" s="54"/>
      <c r="AC62" s="54"/>
      <c r="AD62" s="54"/>
      <c r="AE62" s="54"/>
      <c r="AF62" s="54"/>
      <c r="AG62" s="54"/>
      <c r="AH62" s="54"/>
      <c r="AI62" s="54"/>
      <c r="AJ62" s="54"/>
      <c r="AK62" s="54"/>
      <c r="AL62" s="54"/>
    </row>
    <row r="63" customHeight="1" spans="1:38">
      <c r="A63" s="55">
        <f t="shared" si="1"/>
        <v>59</v>
      </c>
      <c r="B63" s="54">
        <f>测试题!D65</f>
        <v>0</v>
      </c>
      <c r="C63" s="54">
        <f>测试题!E65</f>
        <v>0</v>
      </c>
      <c r="D63" s="54">
        <f>测试题!F65</f>
        <v>3</v>
      </c>
      <c r="E63" s="54"/>
      <c r="F63" s="54"/>
      <c r="G63" s="54"/>
      <c r="H63" s="54"/>
      <c r="I63" s="54"/>
      <c r="J63" s="54"/>
      <c r="K63" s="54">
        <f>C63+D63</f>
        <v>3</v>
      </c>
      <c r="L63" s="54"/>
      <c r="M63" s="54"/>
      <c r="N63" s="54">
        <f>C63+B63</f>
        <v>0</v>
      </c>
      <c r="O63" s="54"/>
      <c r="P63" s="54"/>
      <c r="Q63" s="54"/>
      <c r="R63" s="54"/>
      <c r="S63" s="54"/>
      <c r="T63" s="54"/>
      <c r="U63" s="54"/>
      <c r="V63" s="54"/>
      <c r="W63" s="54"/>
      <c r="X63" s="54"/>
      <c r="Y63" s="54"/>
      <c r="Z63" s="54"/>
      <c r="AA63" s="54"/>
      <c r="AB63" s="54"/>
      <c r="AC63" s="54"/>
      <c r="AD63" s="54"/>
      <c r="AE63" s="54"/>
      <c r="AF63" s="54"/>
      <c r="AG63" s="54"/>
      <c r="AH63" s="54"/>
      <c r="AI63" s="54"/>
      <c r="AJ63" s="54"/>
      <c r="AK63" s="54"/>
      <c r="AL63" s="54"/>
    </row>
    <row r="64" customHeight="1" spans="1:38">
      <c r="A64" s="55">
        <f t="shared" si="1"/>
        <v>60</v>
      </c>
      <c r="B64" s="54">
        <f>测试题!D66</f>
        <v>3</v>
      </c>
      <c r="C64" s="54">
        <f>测试题!E66</f>
        <v>0</v>
      </c>
      <c r="D64" s="54">
        <f>测试题!F66</f>
        <v>0</v>
      </c>
      <c r="E64" s="54"/>
      <c r="F64" s="54"/>
      <c r="G64" s="54"/>
      <c r="H64" s="54"/>
      <c r="I64" s="54"/>
      <c r="J64" s="54"/>
      <c r="K64" s="54"/>
      <c r="L64" s="54"/>
      <c r="M64" s="54"/>
      <c r="N64" s="54"/>
      <c r="O64" s="54"/>
      <c r="P64" s="54"/>
      <c r="Q64" s="54"/>
      <c r="R64" s="54">
        <f>C64+D64</f>
        <v>0</v>
      </c>
      <c r="S64" s="54"/>
      <c r="T64" s="54"/>
      <c r="U64" s="54"/>
      <c r="V64" s="54"/>
      <c r="W64" s="54"/>
      <c r="X64" s="54"/>
      <c r="Y64" s="54"/>
      <c r="Z64" s="54"/>
      <c r="AA64" s="54"/>
      <c r="AB64" s="54"/>
      <c r="AC64" s="54"/>
      <c r="AD64" s="54"/>
      <c r="AE64" s="54">
        <f>C64+B64</f>
        <v>3</v>
      </c>
      <c r="AF64" s="54"/>
      <c r="AG64" s="54"/>
      <c r="AH64" s="54"/>
      <c r="AI64" s="54"/>
      <c r="AJ64" s="54"/>
      <c r="AK64" s="54"/>
      <c r="AL64" s="54"/>
    </row>
    <row r="65" customHeight="1" spans="1:38">
      <c r="A65" s="55">
        <f t="shared" si="1"/>
        <v>61</v>
      </c>
      <c r="B65" s="54">
        <f>测试题!D67</f>
        <v>0</v>
      </c>
      <c r="C65" s="54">
        <f>测试题!E67</f>
        <v>0</v>
      </c>
      <c r="D65" s="54">
        <f>测试题!F67</f>
        <v>3</v>
      </c>
      <c r="E65" s="54"/>
      <c r="F65" s="54"/>
      <c r="G65" s="54"/>
      <c r="H65" s="54"/>
      <c r="I65" s="54"/>
      <c r="J65" s="54"/>
      <c r="K65" s="54"/>
      <c r="L65" s="54"/>
      <c r="M65" s="54"/>
      <c r="N65" s="54">
        <f>C65+D65</f>
        <v>3</v>
      </c>
      <c r="O65" s="54"/>
      <c r="P65" s="54"/>
      <c r="Q65" s="54"/>
      <c r="R65" s="54"/>
      <c r="S65" s="54"/>
      <c r="T65" s="54"/>
      <c r="U65" s="54"/>
      <c r="V65" s="54"/>
      <c r="W65" s="54"/>
      <c r="X65" s="54"/>
      <c r="Y65" s="54"/>
      <c r="Z65" s="54"/>
      <c r="AA65" s="54"/>
      <c r="AB65" s="54"/>
      <c r="AC65" s="54"/>
      <c r="AD65" s="54"/>
      <c r="AE65" s="54">
        <f>C65+B65</f>
        <v>0</v>
      </c>
      <c r="AF65" s="54"/>
      <c r="AG65" s="54"/>
      <c r="AH65" s="54"/>
      <c r="AI65" s="54"/>
      <c r="AJ65" s="54"/>
      <c r="AK65" s="54"/>
      <c r="AL65" s="54"/>
    </row>
    <row r="66" customHeight="1" spans="1:38">
      <c r="A66" s="55">
        <f t="shared" si="1"/>
        <v>62</v>
      </c>
      <c r="B66" s="54">
        <f>测试题!D68</f>
        <v>0</v>
      </c>
      <c r="C66" s="54">
        <f>测试题!E68</f>
        <v>0</v>
      </c>
      <c r="D66" s="54">
        <f>测试题!F68</f>
        <v>3</v>
      </c>
      <c r="E66" s="54"/>
      <c r="F66" s="54"/>
      <c r="G66" s="54"/>
      <c r="H66" s="54"/>
      <c r="I66" s="54">
        <f>$C66+$D66</f>
        <v>3</v>
      </c>
      <c r="J66" s="54"/>
      <c r="K66" s="54">
        <f>$C66+$D66</f>
        <v>3</v>
      </c>
      <c r="L66" s="54"/>
      <c r="M66" s="54"/>
      <c r="N66" s="54">
        <f>$C66+$B66</f>
        <v>0</v>
      </c>
      <c r="O66" s="54"/>
      <c r="P66" s="56"/>
      <c r="Q66" s="54"/>
      <c r="R66" s="54"/>
      <c r="S66" s="54"/>
      <c r="T66" s="54"/>
      <c r="U66" s="54"/>
      <c r="V66" s="54"/>
      <c r="W66" s="54">
        <f>$C66+$B66</f>
        <v>0</v>
      </c>
      <c r="X66" s="54"/>
      <c r="Y66" s="54">
        <f>$C66+$B66</f>
        <v>0</v>
      </c>
      <c r="Z66" s="54"/>
      <c r="AA66" s="54">
        <f>$C66+$B66</f>
        <v>0</v>
      </c>
      <c r="AB66" s="54"/>
      <c r="AC66" s="54"/>
      <c r="AD66" s="54"/>
      <c r="AE66" s="54"/>
      <c r="AF66" s="54"/>
      <c r="AG66" s="54"/>
      <c r="AH66" s="54"/>
      <c r="AI66" s="54"/>
      <c r="AJ66" s="54"/>
      <c r="AK66" s="54">
        <f>$C66+$D66</f>
        <v>3</v>
      </c>
      <c r="AL66" s="54"/>
    </row>
    <row r="67" customHeight="1" spans="1:38">
      <c r="A67" s="55">
        <f t="shared" si="1"/>
        <v>63</v>
      </c>
      <c r="B67" s="54">
        <f>测试题!D69</f>
        <v>2</v>
      </c>
      <c r="C67" s="54">
        <f>测试题!E69</f>
        <v>0</v>
      </c>
      <c r="D67" s="54">
        <f>测试题!F69</f>
        <v>0</v>
      </c>
      <c r="E67" s="54"/>
      <c r="F67" s="54"/>
      <c r="G67" s="54"/>
      <c r="H67" s="54"/>
      <c r="I67" s="54"/>
      <c r="J67" s="54"/>
      <c r="K67" s="54"/>
      <c r="L67" s="54"/>
      <c r="M67" s="54"/>
      <c r="N67" s="54"/>
      <c r="O67" s="54"/>
      <c r="P67" s="54"/>
      <c r="Q67" s="54"/>
      <c r="R67" s="54"/>
      <c r="S67" s="54"/>
      <c r="T67" s="54">
        <f>C67+B67</f>
        <v>2</v>
      </c>
      <c r="U67" s="54"/>
      <c r="V67" s="54"/>
      <c r="W67" s="54"/>
      <c r="X67" s="54"/>
      <c r="Y67" s="54"/>
      <c r="Z67" s="54">
        <f>C67+D67</f>
        <v>0</v>
      </c>
      <c r="AA67" s="54"/>
      <c r="AB67" s="54"/>
      <c r="AC67" s="54"/>
      <c r="AD67" s="54"/>
      <c r="AE67" s="54"/>
      <c r="AF67" s="54"/>
      <c r="AG67" s="54"/>
      <c r="AH67" s="54"/>
      <c r="AI67" s="54"/>
      <c r="AJ67" s="54"/>
      <c r="AK67" s="54"/>
      <c r="AL67" s="54"/>
    </row>
    <row r="68" customHeight="1" spans="1:38">
      <c r="A68" s="55">
        <f t="shared" si="1"/>
        <v>64</v>
      </c>
      <c r="B68" s="54">
        <f>测试题!D70</f>
        <v>2</v>
      </c>
      <c r="C68" s="54">
        <f>测试题!E70</f>
        <v>0</v>
      </c>
      <c r="D68" s="54">
        <f>测试题!F70</f>
        <v>0</v>
      </c>
      <c r="E68" s="54"/>
      <c r="F68" s="54"/>
      <c r="G68" s="54"/>
      <c r="H68" s="54"/>
      <c r="I68" s="54"/>
      <c r="J68" s="54"/>
      <c r="K68" s="54"/>
      <c r="L68" s="54"/>
      <c r="M68" s="54"/>
      <c r="N68" s="54"/>
      <c r="O68" s="54"/>
      <c r="P68" s="54"/>
      <c r="Q68" s="54"/>
      <c r="R68" s="54"/>
      <c r="S68" s="54"/>
      <c r="T68" s="54"/>
      <c r="U68" s="54"/>
      <c r="V68" s="54"/>
      <c r="W68" s="54"/>
      <c r="X68" s="54"/>
      <c r="Y68" s="54"/>
      <c r="Z68" s="54"/>
      <c r="AA68" s="54">
        <f>C68+B68</f>
        <v>2</v>
      </c>
      <c r="AB68" s="54">
        <f>C68+D68</f>
        <v>0</v>
      </c>
      <c r="AC68" s="54"/>
      <c r="AD68" s="54"/>
      <c r="AE68" s="54"/>
      <c r="AF68" s="54"/>
      <c r="AG68" s="54"/>
      <c r="AH68" s="54"/>
      <c r="AI68" s="54"/>
      <c r="AJ68" s="54"/>
      <c r="AK68" s="54"/>
      <c r="AL68" s="54"/>
    </row>
    <row r="69" customHeight="1" spans="1:38">
      <c r="A69" s="55">
        <f t="shared" si="1"/>
        <v>65</v>
      </c>
      <c r="B69" s="54">
        <f>测试题!D71</f>
        <v>0</v>
      </c>
      <c r="C69" s="54">
        <f>测试题!E71</f>
        <v>0</v>
      </c>
      <c r="D69" s="54">
        <f>测试题!F71</f>
        <v>3</v>
      </c>
      <c r="E69" s="54"/>
      <c r="F69" s="54"/>
      <c r="G69" s="54"/>
      <c r="H69" s="54"/>
      <c r="I69" s="54"/>
      <c r="J69" s="54"/>
      <c r="K69" s="54"/>
      <c r="L69" s="54"/>
      <c r="M69" s="54"/>
      <c r="N69" s="54"/>
      <c r="O69" s="54"/>
      <c r="P69" s="54">
        <f>C69+D69</f>
        <v>3</v>
      </c>
      <c r="Q69" s="54"/>
      <c r="R69" s="54"/>
      <c r="S69" s="54"/>
      <c r="T69" s="54"/>
      <c r="U69" s="54"/>
      <c r="V69" s="54"/>
      <c r="W69" s="54"/>
      <c r="X69" s="54"/>
      <c r="Y69" s="54"/>
      <c r="Z69" s="54"/>
      <c r="AA69" s="54"/>
      <c r="AB69" s="54"/>
      <c r="AC69" s="54"/>
      <c r="AD69" s="54"/>
      <c r="AE69" s="54">
        <f>C69+B69</f>
        <v>0</v>
      </c>
      <c r="AF69" s="54"/>
      <c r="AG69" s="54"/>
      <c r="AH69" s="54"/>
      <c r="AI69" s="54"/>
      <c r="AJ69" s="54"/>
      <c r="AK69" s="54"/>
      <c r="AL69" s="54"/>
    </row>
    <row r="70" customHeight="1" spans="1:38">
      <c r="A70" s="55">
        <f t="shared" si="1"/>
        <v>66</v>
      </c>
      <c r="B70" s="54">
        <f>测试题!D72</f>
        <v>0</v>
      </c>
      <c r="C70" s="54">
        <f>测试题!E72</f>
        <v>1</v>
      </c>
      <c r="D70" s="54">
        <f>测试题!F72</f>
        <v>0</v>
      </c>
      <c r="E70" s="54">
        <f>C70+B70</f>
        <v>1</v>
      </c>
      <c r="F70" s="54"/>
      <c r="G70" s="54"/>
      <c r="H70" s="54"/>
      <c r="I70" s="54"/>
      <c r="J70" s="54"/>
      <c r="K70" s="54"/>
      <c r="L70" s="54"/>
      <c r="M70" s="54">
        <f>C70+B70</f>
        <v>1</v>
      </c>
      <c r="N70" s="54"/>
      <c r="O70" s="54"/>
      <c r="P70" s="54"/>
      <c r="Q70" s="54"/>
      <c r="R70" s="54"/>
      <c r="S70" s="54"/>
      <c r="T70" s="54"/>
      <c r="U70" s="54"/>
      <c r="V70" s="54"/>
      <c r="W70" s="54"/>
      <c r="X70" s="54"/>
      <c r="Y70" s="54"/>
      <c r="Z70" s="54"/>
      <c r="AA70" s="54"/>
      <c r="AB70" s="54"/>
      <c r="AC70" s="54">
        <f>C70+D70</f>
        <v>1</v>
      </c>
      <c r="AD70" s="54">
        <f>C70+B70</f>
        <v>1</v>
      </c>
      <c r="AE70" s="54">
        <f>C70+D70</f>
        <v>1</v>
      </c>
      <c r="AF70" s="54"/>
      <c r="AG70" s="54"/>
      <c r="AH70" s="54"/>
      <c r="AI70" s="54"/>
      <c r="AJ70" s="54">
        <f>C70+B70</f>
        <v>1</v>
      </c>
      <c r="AK70" s="54"/>
      <c r="AL70" s="54"/>
    </row>
    <row r="71" customHeight="1" spans="1:38">
      <c r="A71" s="55">
        <f t="shared" ref="A71:A134" si="2">A70+1</f>
        <v>67</v>
      </c>
      <c r="B71" s="54">
        <f>测试题!D73</f>
        <v>0</v>
      </c>
      <c r="C71" s="54">
        <f>测试题!E73</f>
        <v>0</v>
      </c>
      <c r="D71" s="54">
        <f>测试题!F73</f>
        <v>3</v>
      </c>
      <c r="E71" s="54"/>
      <c r="F71" s="54"/>
      <c r="G71" s="54"/>
      <c r="H71" s="54"/>
      <c r="I71" s="54"/>
      <c r="J71" s="54"/>
      <c r="K71" s="54"/>
      <c r="L71" s="54"/>
      <c r="M71" s="54"/>
      <c r="N71" s="54"/>
      <c r="O71" s="54"/>
      <c r="P71" s="54"/>
      <c r="Q71" s="54"/>
      <c r="R71" s="54"/>
      <c r="S71" s="54"/>
      <c r="T71" s="54">
        <f>C71+D71</f>
        <v>3</v>
      </c>
      <c r="U71" s="54"/>
      <c r="V71" s="54"/>
      <c r="W71" s="54">
        <f>C71+B71</f>
        <v>0</v>
      </c>
      <c r="X71" s="54"/>
      <c r="Y71" s="54"/>
      <c r="Z71" s="54">
        <f>C71+B71</f>
        <v>0</v>
      </c>
      <c r="AA71" s="54"/>
      <c r="AB71" s="54"/>
      <c r="AC71" s="54"/>
      <c r="AD71" s="54"/>
      <c r="AE71" s="54"/>
      <c r="AF71" s="54">
        <f>C71+B71</f>
        <v>0</v>
      </c>
      <c r="AG71" s="54"/>
      <c r="AH71" s="54"/>
      <c r="AI71" s="54"/>
      <c r="AJ71" s="54"/>
      <c r="AK71" s="54"/>
      <c r="AL71" s="54"/>
    </row>
    <row r="72" customHeight="1" spans="1:38">
      <c r="A72" s="55">
        <f t="shared" si="2"/>
        <v>68</v>
      </c>
      <c r="B72" s="54">
        <f>测试题!D74</f>
        <v>0</v>
      </c>
      <c r="C72" s="54">
        <f>测试题!E74</f>
        <v>0</v>
      </c>
      <c r="D72" s="54">
        <f>测试题!F74</f>
        <v>2</v>
      </c>
      <c r="E72" s="54"/>
      <c r="F72" s="54"/>
      <c r="G72" s="54"/>
      <c r="H72" s="54"/>
      <c r="I72" s="54"/>
      <c r="J72" s="54"/>
      <c r="K72" s="54"/>
      <c r="L72" s="54"/>
      <c r="M72" s="54"/>
      <c r="N72" s="54"/>
      <c r="O72" s="54"/>
      <c r="P72" s="54">
        <f>C72+B72</f>
        <v>0</v>
      </c>
      <c r="Q72" s="54"/>
      <c r="R72" s="54"/>
      <c r="S72" s="54"/>
      <c r="T72" s="54"/>
      <c r="U72" s="54"/>
      <c r="V72" s="54"/>
      <c r="W72" s="54"/>
      <c r="X72" s="54"/>
      <c r="Y72" s="54"/>
      <c r="Z72" s="54"/>
      <c r="AA72" s="54"/>
      <c r="AB72" s="54"/>
      <c r="AC72" s="54"/>
      <c r="AD72" s="54"/>
      <c r="AE72" s="54"/>
      <c r="AF72" s="54"/>
      <c r="AG72" s="54"/>
      <c r="AH72" s="54"/>
      <c r="AI72" s="54">
        <f>C72+D72</f>
        <v>2</v>
      </c>
      <c r="AJ72" s="54"/>
      <c r="AK72" s="54"/>
      <c r="AL72" s="54"/>
    </row>
    <row r="73" customHeight="1" spans="1:38">
      <c r="A73" s="55">
        <f t="shared" si="2"/>
        <v>69</v>
      </c>
      <c r="B73" s="54">
        <f>测试题!D75</f>
        <v>0</v>
      </c>
      <c r="C73" s="54">
        <f>测试题!E75</f>
        <v>1</v>
      </c>
      <c r="D73" s="54">
        <f>测试题!F75</f>
        <v>0</v>
      </c>
      <c r="E73" s="54"/>
      <c r="F73" s="54"/>
      <c r="G73" s="54"/>
      <c r="H73" s="54"/>
      <c r="I73" s="54"/>
      <c r="J73" s="54"/>
      <c r="K73" s="54"/>
      <c r="L73" s="54">
        <f>C73+D73</f>
        <v>1</v>
      </c>
      <c r="M73" s="54"/>
      <c r="N73" s="54"/>
      <c r="O73" s="54"/>
      <c r="P73" s="54"/>
      <c r="Q73" s="54"/>
      <c r="R73" s="54"/>
      <c r="S73" s="54">
        <f>C73+B73</f>
        <v>1</v>
      </c>
      <c r="T73" s="54"/>
      <c r="U73" s="54"/>
      <c r="V73" s="54"/>
      <c r="W73" s="54">
        <f>C73+B73</f>
        <v>1</v>
      </c>
      <c r="X73" s="54"/>
      <c r="Y73" s="54">
        <f>C73+D73</f>
        <v>1</v>
      </c>
      <c r="Z73" s="54">
        <f>C73+B73</f>
        <v>1</v>
      </c>
      <c r="AA73" s="54"/>
      <c r="AB73" s="54"/>
      <c r="AC73" s="54"/>
      <c r="AD73" s="54"/>
      <c r="AE73" s="54"/>
      <c r="AF73" s="54"/>
      <c r="AG73" s="54"/>
      <c r="AH73" s="54"/>
      <c r="AI73" s="54"/>
      <c r="AJ73" s="54"/>
      <c r="AK73" s="54"/>
      <c r="AL73" s="54">
        <f>C73+D73</f>
        <v>1</v>
      </c>
    </row>
    <row r="74" customHeight="1" spans="1:38">
      <c r="A74" s="55">
        <f t="shared" si="2"/>
        <v>70</v>
      </c>
      <c r="B74" s="54">
        <f>测试题!D76</f>
        <v>0</v>
      </c>
      <c r="C74" s="54">
        <f>测试题!E76</f>
        <v>0</v>
      </c>
      <c r="D74" s="54">
        <f>测试题!F76</f>
        <v>3</v>
      </c>
      <c r="E74" s="54"/>
      <c r="F74" s="54"/>
      <c r="G74" s="54"/>
      <c r="H74" s="54"/>
      <c r="I74" s="54"/>
      <c r="J74" s="54"/>
      <c r="K74" s="54"/>
      <c r="L74" s="54"/>
      <c r="M74" s="54"/>
      <c r="N74" s="54"/>
      <c r="O74" s="54"/>
      <c r="P74" s="54">
        <f>C74+D74</f>
        <v>3</v>
      </c>
      <c r="Q74" s="54"/>
      <c r="R74" s="54"/>
      <c r="S74" s="54"/>
      <c r="T74" s="54"/>
      <c r="U74" s="54"/>
      <c r="V74" s="54"/>
      <c r="W74" s="54"/>
      <c r="X74" s="54"/>
      <c r="Y74" s="54"/>
      <c r="Z74" s="54">
        <f>C74+B74</f>
        <v>0</v>
      </c>
      <c r="AA74" s="54">
        <f>C74+B74</f>
        <v>0</v>
      </c>
      <c r="AB74" s="54"/>
      <c r="AC74" s="54"/>
      <c r="AD74" s="54"/>
      <c r="AE74" s="54"/>
      <c r="AF74" s="54"/>
      <c r="AG74" s="54"/>
      <c r="AH74" s="54"/>
      <c r="AI74" s="54"/>
      <c r="AJ74" s="54"/>
      <c r="AK74" s="54"/>
      <c r="AL74" s="54"/>
    </row>
    <row r="75" customHeight="1" spans="1:38">
      <c r="A75" s="55">
        <f t="shared" si="2"/>
        <v>71</v>
      </c>
      <c r="B75" s="54">
        <f>测试题!D77</f>
        <v>0</v>
      </c>
      <c r="C75" s="54">
        <f>测试题!E77</f>
        <v>0</v>
      </c>
      <c r="D75" s="54">
        <f>测试题!F77</f>
        <v>3</v>
      </c>
      <c r="E75" s="54"/>
      <c r="F75" s="54"/>
      <c r="G75" s="54"/>
      <c r="H75" s="54">
        <f>C75+D75</f>
        <v>3</v>
      </c>
      <c r="I75" s="54"/>
      <c r="J75" s="54"/>
      <c r="K75" s="54"/>
      <c r="L75" s="54"/>
      <c r="M75" s="54"/>
      <c r="N75" s="54"/>
      <c r="O75" s="54"/>
      <c r="P75" s="54">
        <f>C75+D75</f>
        <v>3</v>
      </c>
      <c r="Q75" s="54"/>
      <c r="R75" s="54"/>
      <c r="S75" s="54"/>
      <c r="T75" s="54"/>
      <c r="U75" s="54"/>
      <c r="V75" s="54"/>
      <c r="W75" s="54"/>
      <c r="X75" s="54"/>
      <c r="Y75" s="54"/>
      <c r="Z75" s="54"/>
      <c r="AA75" s="54"/>
      <c r="AB75" s="54"/>
      <c r="AC75" s="54"/>
      <c r="AD75" s="54"/>
      <c r="AE75" s="54"/>
      <c r="AF75" s="54"/>
      <c r="AG75" s="54"/>
      <c r="AH75" s="54"/>
      <c r="AI75" s="54">
        <f>C75+B75</f>
        <v>0</v>
      </c>
      <c r="AJ75" s="54"/>
      <c r="AK75" s="54">
        <f>C75+D75</f>
        <v>3</v>
      </c>
      <c r="AL75" s="54"/>
    </row>
    <row r="76" customHeight="1" spans="1:38">
      <c r="A76" s="55">
        <f t="shared" si="2"/>
        <v>72</v>
      </c>
      <c r="B76" s="54">
        <f>测试题!D78</f>
        <v>0</v>
      </c>
      <c r="C76" s="54">
        <f>测试题!E78</f>
        <v>0</v>
      </c>
      <c r="D76" s="54">
        <f>测试题!F78</f>
        <v>2</v>
      </c>
      <c r="E76" s="54"/>
      <c r="F76" s="54"/>
      <c r="G76" s="54">
        <f>C76+B76</f>
        <v>0</v>
      </c>
      <c r="H76" s="54"/>
      <c r="I76" s="54">
        <f>C76+D76</f>
        <v>2</v>
      </c>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row>
    <row r="77" customHeight="1" spans="1:38">
      <c r="A77" s="55">
        <f t="shared" si="2"/>
        <v>73</v>
      </c>
      <c r="B77" s="54">
        <f>测试题!D79</f>
        <v>0</v>
      </c>
      <c r="C77" s="54">
        <f>测试题!E79</f>
        <v>1</v>
      </c>
      <c r="D77" s="54">
        <f>测试题!F79</f>
        <v>0</v>
      </c>
      <c r="E77" s="54"/>
      <c r="F77" s="54"/>
      <c r="G77" s="54"/>
      <c r="H77" s="54"/>
      <c r="I77" s="54"/>
      <c r="J77" s="54"/>
      <c r="K77" s="54"/>
      <c r="L77" s="54"/>
      <c r="M77" s="54"/>
      <c r="N77" s="54"/>
      <c r="O77" s="54"/>
      <c r="P77" s="54"/>
      <c r="Q77" s="54"/>
      <c r="R77" s="54"/>
      <c r="S77" s="54">
        <f>C77+B77</f>
        <v>1</v>
      </c>
      <c r="T77" s="54"/>
      <c r="U77" s="54"/>
      <c r="V77" s="54"/>
      <c r="W77" s="54"/>
      <c r="X77" s="54"/>
      <c r="Y77" s="54"/>
      <c r="Z77" s="54"/>
      <c r="AA77" s="54"/>
      <c r="AB77" s="54"/>
      <c r="AC77" s="54"/>
      <c r="AD77" s="54"/>
      <c r="AE77" s="54"/>
      <c r="AF77" s="54"/>
      <c r="AG77" s="54"/>
      <c r="AH77" s="54"/>
      <c r="AI77" s="54"/>
      <c r="AJ77" s="54"/>
      <c r="AK77" s="54"/>
      <c r="AL77" s="54">
        <f>C77+D77</f>
        <v>1</v>
      </c>
    </row>
    <row r="78" customHeight="1" spans="1:38">
      <c r="A78" s="55">
        <f t="shared" si="2"/>
        <v>74</v>
      </c>
      <c r="B78" s="54">
        <f>测试题!D80</f>
        <v>0</v>
      </c>
      <c r="C78" s="54">
        <f>测试题!E80</f>
        <v>0</v>
      </c>
      <c r="D78" s="54">
        <f>测试题!F80</f>
        <v>3</v>
      </c>
      <c r="E78" s="54"/>
      <c r="F78" s="54"/>
      <c r="G78" s="54">
        <f>C78+B78</f>
        <v>0</v>
      </c>
      <c r="H78" s="54"/>
      <c r="I78" s="54"/>
      <c r="J78" s="54"/>
      <c r="K78" s="54"/>
      <c r="L78" s="54"/>
      <c r="M78" s="54"/>
      <c r="N78" s="54"/>
      <c r="O78" s="54"/>
      <c r="P78" s="54"/>
      <c r="Q78" s="54"/>
      <c r="R78" s="54"/>
      <c r="S78" s="54"/>
      <c r="T78" s="54"/>
      <c r="U78" s="54">
        <f>C78+B78</f>
        <v>0</v>
      </c>
      <c r="V78" s="54">
        <f>C78+D78</f>
        <v>3</v>
      </c>
      <c r="W78" s="54"/>
      <c r="X78" s="54"/>
      <c r="Y78" s="54"/>
      <c r="Z78" s="54"/>
      <c r="AA78" s="54"/>
      <c r="AB78" s="54"/>
      <c r="AC78" s="54"/>
      <c r="AD78" s="54"/>
      <c r="AE78" s="54"/>
      <c r="AF78" s="54"/>
      <c r="AG78" s="54"/>
      <c r="AH78" s="54"/>
      <c r="AI78" s="54"/>
      <c r="AJ78" s="54"/>
      <c r="AK78" s="54">
        <f>C78+D78</f>
        <v>3</v>
      </c>
      <c r="AL78" s="54"/>
    </row>
    <row r="79" customHeight="1" spans="1:38">
      <c r="A79" s="55">
        <f t="shared" si="2"/>
        <v>75</v>
      </c>
      <c r="B79" s="54">
        <f>测试题!D81</f>
        <v>0</v>
      </c>
      <c r="C79" s="54">
        <f>测试题!E81</f>
        <v>0</v>
      </c>
      <c r="D79" s="54">
        <f>测试题!F81</f>
        <v>2</v>
      </c>
      <c r="E79" s="54"/>
      <c r="F79" s="54"/>
      <c r="G79" s="54">
        <f>C79+D79</f>
        <v>2</v>
      </c>
      <c r="H79" s="54"/>
      <c r="I79" s="54"/>
      <c r="J79" s="54"/>
      <c r="K79" s="54"/>
      <c r="L79" s="54"/>
      <c r="M79" s="54"/>
      <c r="N79" s="54"/>
      <c r="O79" s="54"/>
      <c r="P79" s="54"/>
      <c r="Q79" s="54"/>
      <c r="R79" s="54">
        <f>C79+B79</f>
        <v>0</v>
      </c>
      <c r="S79" s="54"/>
      <c r="T79" s="54"/>
      <c r="U79" s="54">
        <f>C79+B79</f>
        <v>0</v>
      </c>
      <c r="V79" s="54">
        <f>C79+B79</f>
        <v>0</v>
      </c>
      <c r="W79" s="54"/>
      <c r="X79" s="54"/>
      <c r="Y79" s="54"/>
      <c r="Z79" s="54"/>
      <c r="AA79" s="54"/>
      <c r="AB79" s="54"/>
      <c r="AC79" s="54"/>
      <c r="AD79" s="54"/>
      <c r="AE79" s="54"/>
      <c r="AF79" s="54"/>
      <c r="AG79" s="54"/>
      <c r="AH79" s="54"/>
      <c r="AI79" s="54"/>
      <c r="AJ79" s="54"/>
      <c r="AK79" s="54"/>
      <c r="AL79" s="54"/>
    </row>
    <row r="80" customHeight="1" spans="1:38">
      <c r="A80" s="55">
        <f t="shared" si="2"/>
        <v>76</v>
      </c>
      <c r="B80" s="54">
        <f>测试题!D82</f>
        <v>0</v>
      </c>
      <c r="C80" s="54">
        <f>测试题!E82</f>
        <v>0</v>
      </c>
      <c r="D80" s="54">
        <f>测试题!F82</f>
        <v>3</v>
      </c>
      <c r="E80" s="54"/>
      <c r="F80" s="54"/>
      <c r="G80" s="54"/>
      <c r="H80" s="54"/>
      <c r="I80" s="54"/>
      <c r="J80" s="54"/>
      <c r="K80" s="54"/>
      <c r="L80" s="54"/>
      <c r="M80" s="54"/>
      <c r="N80" s="54"/>
      <c r="O80" s="54"/>
      <c r="P80" s="54"/>
      <c r="Q80" s="54"/>
      <c r="R80" s="54"/>
      <c r="S80" s="54"/>
      <c r="T80" s="54"/>
      <c r="U80" s="54">
        <f>C80+D80</f>
        <v>3</v>
      </c>
      <c r="V80" s="54"/>
      <c r="W80" s="54"/>
      <c r="X80" s="54"/>
      <c r="Y80" s="54"/>
      <c r="Z80" s="54"/>
      <c r="AA80" s="54"/>
      <c r="AB80" s="54">
        <f>C80+D80</f>
        <v>3</v>
      </c>
      <c r="AC80" s="54">
        <f>C80+D80</f>
        <v>3</v>
      </c>
      <c r="AD80" s="54"/>
      <c r="AE80" s="54"/>
      <c r="AF80" s="54"/>
      <c r="AG80" s="54"/>
      <c r="AH80" s="54"/>
      <c r="AI80" s="54"/>
      <c r="AJ80" s="54"/>
      <c r="AK80" s="54"/>
      <c r="AL80" s="54"/>
    </row>
    <row r="81" customHeight="1" spans="1:38">
      <c r="A81" s="55">
        <f t="shared" si="2"/>
        <v>77</v>
      </c>
      <c r="B81" s="54">
        <f>测试题!D83</f>
        <v>0</v>
      </c>
      <c r="C81" s="54">
        <f>测试题!E83</f>
        <v>1</v>
      </c>
      <c r="D81" s="54">
        <f>测试题!F83</f>
        <v>0</v>
      </c>
      <c r="E81" s="54"/>
      <c r="F81" s="54"/>
      <c r="G81" s="54"/>
      <c r="H81" s="54"/>
      <c r="I81" s="54"/>
      <c r="J81" s="54"/>
      <c r="K81" s="54"/>
      <c r="L81" s="54"/>
      <c r="M81" s="54"/>
      <c r="N81" s="54"/>
      <c r="O81" s="54"/>
      <c r="P81" s="54"/>
      <c r="Q81" s="54"/>
      <c r="R81" s="54">
        <f>C81+B81</f>
        <v>1</v>
      </c>
      <c r="S81" s="54"/>
      <c r="T81" s="54"/>
      <c r="U81" s="54"/>
      <c r="V81" s="54"/>
      <c r="W81" s="54"/>
      <c r="X81" s="54"/>
      <c r="Y81" s="54">
        <f>C81+D81</f>
        <v>1</v>
      </c>
      <c r="Z81" s="54"/>
      <c r="AA81" s="54"/>
      <c r="AB81" s="54"/>
      <c r="AC81" s="54"/>
      <c r="AD81" s="54"/>
      <c r="AE81" s="54"/>
      <c r="AF81" s="54">
        <f>C81+D81</f>
        <v>1</v>
      </c>
      <c r="AG81" s="54"/>
      <c r="AH81" s="54"/>
      <c r="AI81" s="54"/>
      <c r="AJ81" s="54"/>
      <c r="AK81" s="54"/>
      <c r="AL81" s="54"/>
    </row>
    <row r="82" customHeight="1" spans="1:38">
      <c r="A82" s="55">
        <f t="shared" si="2"/>
        <v>78</v>
      </c>
      <c r="B82" s="54">
        <f>测试题!D84</f>
        <v>0</v>
      </c>
      <c r="C82" s="54">
        <f>测试题!E84</f>
        <v>0</v>
      </c>
      <c r="D82" s="54">
        <f>测试题!F84</f>
        <v>2</v>
      </c>
      <c r="E82" s="54"/>
      <c r="F82" s="54"/>
      <c r="G82" s="54"/>
      <c r="H82" s="54">
        <f>C82+B82</f>
        <v>0</v>
      </c>
      <c r="I82" s="54"/>
      <c r="J82" s="54"/>
      <c r="K82" s="54"/>
      <c r="L82" s="54"/>
      <c r="M82" s="54"/>
      <c r="N82" s="54">
        <f>C82+B82</f>
        <v>0</v>
      </c>
      <c r="O82" s="54"/>
      <c r="P82" s="54"/>
      <c r="Q82" s="54"/>
      <c r="R82" s="54"/>
      <c r="S82" s="54"/>
      <c r="T82" s="54"/>
      <c r="U82" s="54"/>
      <c r="V82" s="54"/>
      <c r="W82" s="54"/>
      <c r="X82" s="54"/>
      <c r="Y82" s="54"/>
      <c r="Z82" s="54"/>
      <c r="AA82" s="54"/>
      <c r="AB82" s="54">
        <f>C82+D82</f>
        <v>2</v>
      </c>
      <c r="AC82" s="54"/>
      <c r="AD82" s="54"/>
      <c r="AE82" s="54"/>
      <c r="AF82" s="54"/>
      <c r="AG82" s="54"/>
      <c r="AH82" s="54"/>
      <c r="AI82" s="54"/>
      <c r="AJ82" s="54"/>
      <c r="AK82" s="54"/>
      <c r="AL82" s="54"/>
    </row>
    <row r="83" customHeight="1" spans="1:38">
      <c r="A83" s="55">
        <f t="shared" si="2"/>
        <v>79</v>
      </c>
      <c r="B83" s="54">
        <f>测试题!D85</f>
        <v>0</v>
      </c>
      <c r="C83" s="54">
        <f>测试题!E85</f>
        <v>1</v>
      </c>
      <c r="D83" s="54">
        <f>测试题!F85</f>
        <v>0</v>
      </c>
      <c r="E83" s="54"/>
      <c r="F83" s="54"/>
      <c r="G83" s="54">
        <f>C83+D83</f>
        <v>1</v>
      </c>
      <c r="H83" s="54"/>
      <c r="I83" s="54">
        <f>C83+B83</f>
        <v>1</v>
      </c>
      <c r="J83" s="54"/>
      <c r="K83" s="54"/>
      <c r="L83" s="54"/>
      <c r="M83" s="54"/>
      <c r="N83" s="54"/>
      <c r="O83" s="54"/>
      <c r="P83" s="54"/>
      <c r="Q83" s="54"/>
      <c r="R83" s="54">
        <f>C83+B83</f>
        <v>1</v>
      </c>
      <c r="S83" s="54"/>
      <c r="T83" s="54"/>
      <c r="U83" s="54">
        <f>C83+B83</f>
        <v>1</v>
      </c>
      <c r="V83" s="54"/>
      <c r="W83" s="54"/>
      <c r="X83" s="54"/>
      <c r="Y83" s="54"/>
      <c r="Z83" s="54"/>
      <c r="AA83" s="54"/>
      <c r="AB83" s="54"/>
      <c r="AC83" s="54"/>
      <c r="AD83" s="54"/>
      <c r="AE83" s="54">
        <f>C83+D83</f>
        <v>1</v>
      </c>
      <c r="AF83" s="54"/>
      <c r="AG83" s="54"/>
      <c r="AH83" s="54"/>
      <c r="AI83" s="54"/>
      <c r="AJ83" s="54"/>
      <c r="AK83" s="54"/>
      <c r="AL83" s="54"/>
    </row>
    <row r="84" customHeight="1" spans="1:38">
      <c r="A84" s="55">
        <f t="shared" si="2"/>
        <v>80</v>
      </c>
      <c r="B84" s="54">
        <f>测试题!D86</f>
        <v>2</v>
      </c>
      <c r="C84" s="54">
        <f>测试题!E86</f>
        <v>0</v>
      </c>
      <c r="D84" s="54">
        <f>测试题!F86</f>
        <v>0</v>
      </c>
      <c r="E84" s="54"/>
      <c r="F84" s="54"/>
      <c r="G84" s="54"/>
      <c r="H84" s="54"/>
      <c r="I84" s="54"/>
      <c r="J84" s="54">
        <f>C84+B84</f>
        <v>2</v>
      </c>
      <c r="K84" s="54"/>
      <c r="L84" s="54"/>
      <c r="M84" s="54"/>
      <c r="N84" s="54"/>
      <c r="O84" s="54"/>
      <c r="P84" s="54"/>
      <c r="Q84" s="54"/>
      <c r="R84" s="54"/>
      <c r="S84" s="54"/>
      <c r="T84" s="54"/>
      <c r="U84" s="54"/>
      <c r="V84" s="54"/>
      <c r="W84" s="54"/>
      <c r="X84" s="54"/>
      <c r="Y84" s="54"/>
      <c r="Z84" s="54"/>
      <c r="AA84" s="54"/>
      <c r="AB84" s="54"/>
      <c r="AC84" s="54"/>
      <c r="AD84" s="54"/>
      <c r="AE84" s="54"/>
      <c r="AF84" s="54"/>
      <c r="AG84" s="54"/>
      <c r="AH84" s="54">
        <f>C84+D84</f>
        <v>0</v>
      </c>
      <c r="AI84" s="54"/>
      <c r="AJ84" s="54"/>
      <c r="AK84" s="54"/>
      <c r="AL84" s="54"/>
    </row>
    <row r="85" customHeight="1" spans="1:38">
      <c r="A85" s="55">
        <f t="shared" si="2"/>
        <v>81</v>
      </c>
      <c r="B85" s="54">
        <f>测试题!D87</f>
        <v>2</v>
      </c>
      <c r="C85" s="54">
        <f>测试题!E87</f>
        <v>0</v>
      </c>
      <c r="D85" s="54">
        <f>测试题!F87</f>
        <v>0</v>
      </c>
      <c r="E85" s="54"/>
      <c r="F85" s="54"/>
      <c r="G85" s="54"/>
      <c r="H85" s="54"/>
      <c r="I85" s="54"/>
      <c r="J85" s="54"/>
      <c r="K85" s="54">
        <f>C85+B85</f>
        <v>2</v>
      </c>
      <c r="L85" s="54"/>
      <c r="M85" s="54"/>
      <c r="N85" s="54"/>
      <c r="O85" s="54"/>
      <c r="P85" s="54"/>
      <c r="Q85" s="54"/>
      <c r="R85" s="54"/>
      <c r="S85" s="54">
        <f>C85+D85</f>
        <v>0</v>
      </c>
      <c r="T85" s="54"/>
      <c r="U85" s="54"/>
      <c r="V85" s="54"/>
      <c r="W85" s="54"/>
      <c r="X85" s="54"/>
      <c r="Y85" s="54"/>
      <c r="Z85" s="54"/>
      <c r="AA85" s="54"/>
      <c r="AB85" s="54"/>
      <c r="AC85" s="54"/>
      <c r="AD85" s="54"/>
      <c r="AE85" s="54"/>
      <c r="AF85" s="54"/>
      <c r="AG85" s="54"/>
      <c r="AH85" s="54"/>
      <c r="AI85" s="54"/>
      <c r="AJ85" s="54"/>
      <c r="AK85" s="54"/>
      <c r="AL85" s="54"/>
    </row>
    <row r="86" customHeight="1" spans="1:38">
      <c r="A86" s="55">
        <f t="shared" si="2"/>
        <v>82</v>
      </c>
      <c r="B86" s="54">
        <f>测试题!D88</f>
        <v>0</v>
      </c>
      <c r="C86" s="54">
        <f>测试题!E88</f>
        <v>0</v>
      </c>
      <c r="D86" s="54">
        <f>测试题!F88</f>
        <v>2</v>
      </c>
      <c r="E86" s="54"/>
      <c r="F86" s="54"/>
      <c r="G86" s="54"/>
      <c r="H86" s="54"/>
      <c r="I86" s="54"/>
      <c r="J86" s="54"/>
      <c r="K86" s="54"/>
      <c r="L86" s="54">
        <f>C86+B86</f>
        <v>0</v>
      </c>
      <c r="M86" s="54"/>
      <c r="N86" s="54"/>
      <c r="O86" s="54">
        <f>C86+B86</f>
        <v>0</v>
      </c>
      <c r="P86" s="54"/>
      <c r="Q86" s="54">
        <f>C86+D86</f>
        <v>2</v>
      </c>
      <c r="R86" s="54"/>
      <c r="S86" s="54"/>
      <c r="T86" s="54"/>
      <c r="U86" s="54"/>
      <c r="V86" s="54"/>
      <c r="W86" s="54"/>
      <c r="X86" s="54"/>
      <c r="Y86" s="54"/>
      <c r="Z86" s="54"/>
      <c r="AA86" s="54"/>
      <c r="AB86" s="54"/>
      <c r="AC86" s="54"/>
      <c r="AD86" s="54"/>
      <c r="AE86" s="54"/>
      <c r="AF86" s="54"/>
      <c r="AG86" s="54"/>
      <c r="AH86" s="54">
        <f>C86+D83</f>
        <v>0</v>
      </c>
      <c r="AI86" s="54"/>
      <c r="AJ86" s="54"/>
      <c r="AK86" s="54"/>
      <c r="AL86" s="54"/>
    </row>
    <row r="87" customHeight="1" spans="1:38">
      <c r="A87" s="55">
        <f t="shared" si="2"/>
        <v>83</v>
      </c>
      <c r="B87" s="54">
        <f>测试题!D89</f>
        <v>0</v>
      </c>
      <c r="C87" s="54">
        <f>测试题!E89</f>
        <v>0</v>
      </c>
      <c r="D87" s="54">
        <f>测试题!F89</f>
        <v>3</v>
      </c>
      <c r="E87" s="54"/>
      <c r="F87" s="54"/>
      <c r="G87" s="54"/>
      <c r="H87" s="54"/>
      <c r="I87" s="54"/>
      <c r="J87" s="54"/>
      <c r="K87" s="54"/>
      <c r="L87" s="54">
        <f>C87+B87</f>
        <v>0</v>
      </c>
      <c r="M87" s="54"/>
      <c r="N87" s="54"/>
      <c r="O87" s="54"/>
      <c r="P87" s="54"/>
      <c r="Q87" s="54"/>
      <c r="R87" s="54"/>
      <c r="S87" s="54"/>
      <c r="T87" s="54"/>
      <c r="U87" s="54"/>
      <c r="V87" s="54"/>
      <c r="W87" s="54"/>
      <c r="X87" s="54"/>
      <c r="Y87" s="54"/>
      <c r="Z87" s="54"/>
      <c r="AA87" s="54"/>
      <c r="AB87" s="54">
        <f>C87+D87</f>
        <v>3</v>
      </c>
      <c r="AC87" s="54"/>
      <c r="AD87" s="54"/>
      <c r="AE87" s="54"/>
      <c r="AF87" s="54"/>
      <c r="AG87" s="54"/>
      <c r="AH87" s="54"/>
      <c r="AI87" s="54"/>
      <c r="AJ87" s="54"/>
      <c r="AK87" s="54"/>
      <c r="AL87" s="54"/>
    </row>
    <row r="88" customHeight="1" spans="1:38">
      <c r="A88" s="55">
        <f t="shared" si="2"/>
        <v>84</v>
      </c>
      <c r="B88" s="54">
        <f>测试题!D90</f>
        <v>0</v>
      </c>
      <c r="C88" s="54">
        <f>测试题!E90</f>
        <v>1</v>
      </c>
      <c r="D88" s="54">
        <f>测试题!F90</f>
        <v>0</v>
      </c>
      <c r="E88" s="54"/>
      <c r="F88" s="54">
        <f>C88+D88</f>
        <v>1</v>
      </c>
      <c r="G88" s="54"/>
      <c r="H88" s="54"/>
      <c r="I88" s="54"/>
      <c r="J88" s="54"/>
      <c r="K88" s="54"/>
      <c r="L88" s="54"/>
      <c r="M88" s="54">
        <f>C88+B88</f>
        <v>1</v>
      </c>
      <c r="N88" s="54"/>
      <c r="O88" s="54"/>
      <c r="P88" s="54"/>
      <c r="Q88" s="54"/>
      <c r="R88" s="54"/>
      <c r="S88" s="54"/>
      <c r="T88" s="54"/>
      <c r="U88" s="54"/>
      <c r="V88" s="54"/>
      <c r="W88" s="54"/>
      <c r="X88" s="54"/>
      <c r="Y88" s="54"/>
      <c r="Z88" s="54"/>
      <c r="AA88" s="54"/>
      <c r="AB88" s="54"/>
      <c r="AC88" s="54"/>
      <c r="AD88" s="54">
        <f>C88+B88</f>
        <v>1</v>
      </c>
      <c r="AE88" s="54"/>
      <c r="AF88" s="54"/>
      <c r="AG88" s="54"/>
      <c r="AH88" s="54"/>
      <c r="AI88" s="54"/>
      <c r="AJ88" s="54"/>
      <c r="AK88" s="54"/>
      <c r="AL88" s="54"/>
    </row>
    <row r="89" customHeight="1" spans="1:38">
      <c r="A89" s="55">
        <f t="shared" si="2"/>
        <v>85</v>
      </c>
      <c r="B89" s="54">
        <f>测试题!D91</f>
        <v>0</v>
      </c>
      <c r="C89" s="54">
        <f>测试题!E91</f>
        <v>0</v>
      </c>
      <c r="D89" s="54">
        <f>测试题!F91</f>
        <v>2</v>
      </c>
      <c r="E89" s="54"/>
      <c r="F89" s="54">
        <f>C89+B89</f>
        <v>0</v>
      </c>
      <c r="G89" s="54"/>
      <c r="H89" s="54">
        <f>C89+B89</f>
        <v>0</v>
      </c>
      <c r="I89" s="54"/>
      <c r="J89" s="54"/>
      <c r="K89" s="54"/>
      <c r="L89" s="54"/>
      <c r="M89" s="54"/>
      <c r="N89" s="54"/>
      <c r="O89" s="54"/>
      <c r="P89" s="54"/>
      <c r="Q89" s="54"/>
      <c r="R89" s="54"/>
      <c r="S89" s="54"/>
      <c r="T89" s="54"/>
      <c r="U89" s="54"/>
      <c r="V89" s="54"/>
      <c r="W89" s="54"/>
      <c r="X89" s="54">
        <f>C89+D89</f>
        <v>2</v>
      </c>
      <c r="Y89" s="54"/>
      <c r="Z89" s="54"/>
      <c r="AA89" s="54">
        <f>C89+B89</f>
        <v>0</v>
      </c>
      <c r="AB89" s="54"/>
      <c r="AC89" s="54"/>
      <c r="AD89" s="54"/>
      <c r="AE89" s="54"/>
      <c r="AF89" s="54"/>
      <c r="AG89" s="54"/>
      <c r="AH89" s="54"/>
      <c r="AI89" s="54"/>
      <c r="AJ89" s="54"/>
      <c r="AK89" s="54">
        <f>C89+D89</f>
        <v>2</v>
      </c>
      <c r="AL89" s="54"/>
    </row>
    <row r="90" customHeight="1" spans="1:38">
      <c r="A90" s="55">
        <f t="shared" si="2"/>
        <v>86</v>
      </c>
      <c r="B90" s="54">
        <f>测试题!D92</f>
        <v>0</v>
      </c>
      <c r="C90" s="54">
        <f>测试题!E92</f>
        <v>0</v>
      </c>
      <c r="D90" s="54">
        <f>测试题!F92</f>
        <v>3</v>
      </c>
      <c r="E90" s="54">
        <f>C90+B90</f>
        <v>0</v>
      </c>
      <c r="F90" s="54"/>
      <c r="G90" s="54"/>
      <c r="H90" s="54"/>
      <c r="I90" s="54"/>
      <c r="J90" s="54"/>
      <c r="K90" s="54"/>
      <c r="L90" s="54"/>
      <c r="M90" s="54">
        <f>C90+B90</f>
        <v>0</v>
      </c>
      <c r="N90" s="54"/>
      <c r="O90" s="54"/>
      <c r="P90" s="56"/>
      <c r="Q90" s="54"/>
      <c r="R90" s="54"/>
      <c r="S90" s="54"/>
      <c r="T90" s="54"/>
      <c r="U90" s="54"/>
      <c r="V90" s="54"/>
      <c r="W90" s="54"/>
      <c r="X90" s="54"/>
      <c r="Y90" s="54"/>
      <c r="Z90" s="54"/>
      <c r="AA90" s="54">
        <f>C90+B90</f>
        <v>0</v>
      </c>
      <c r="AB90" s="54"/>
      <c r="AC90" s="54">
        <f>C90+B90</f>
        <v>0</v>
      </c>
      <c r="AD90" s="54">
        <f>C90+D90</f>
        <v>3</v>
      </c>
      <c r="AE90" s="54"/>
      <c r="AF90" s="54"/>
      <c r="AG90" s="54"/>
      <c r="AH90" s="54"/>
      <c r="AI90" s="54"/>
      <c r="AJ90" s="54">
        <f>C90+B90</f>
        <v>0</v>
      </c>
      <c r="AK90" s="54"/>
      <c r="AL90" s="54"/>
    </row>
    <row r="91" customHeight="1" spans="1:38">
      <c r="A91" s="55">
        <f t="shared" si="2"/>
        <v>87</v>
      </c>
      <c r="B91" s="54">
        <f>测试题!D93</f>
        <v>2</v>
      </c>
      <c r="C91" s="54">
        <f>测试题!E93</f>
        <v>0</v>
      </c>
      <c r="D91" s="54">
        <f>测试题!F93</f>
        <v>0</v>
      </c>
      <c r="E91" s="54"/>
      <c r="F91" s="54"/>
      <c r="G91" s="54"/>
      <c r="H91" s="54"/>
      <c r="I91" s="54">
        <f>C91+B91</f>
        <v>2</v>
      </c>
      <c r="J91" s="54">
        <f>C91+D91</f>
        <v>0</v>
      </c>
      <c r="K91" s="54"/>
      <c r="L91" s="54"/>
      <c r="M91" s="54"/>
      <c r="N91" s="54"/>
      <c r="O91" s="54"/>
      <c r="P91" s="56"/>
      <c r="Q91" s="54"/>
      <c r="R91" s="54"/>
      <c r="S91" s="54"/>
      <c r="T91" s="54"/>
      <c r="U91" s="54"/>
      <c r="V91" s="54"/>
      <c r="W91" s="54"/>
      <c r="X91" s="54"/>
      <c r="Y91" s="54"/>
      <c r="Z91" s="54"/>
      <c r="AA91" s="54"/>
      <c r="AB91" s="54"/>
      <c r="AC91" s="54"/>
      <c r="AD91" s="54"/>
      <c r="AE91" s="54"/>
      <c r="AF91" s="54"/>
      <c r="AG91" s="54"/>
      <c r="AH91" s="54"/>
      <c r="AI91" s="54"/>
      <c r="AJ91" s="54"/>
      <c r="AK91" s="54"/>
      <c r="AL91" s="54"/>
    </row>
    <row r="92" customHeight="1" spans="1:38">
      <c r="A92" s="55">
        <f t="shared" si="2"/>
        <v>88</v>
      </c>
      <c r="B92" s="54">
        <f>测试题!D94</f>
        <v>0</v>
      </c>
      <c r="C92" s="54">
        <f>测试题!E94</f>
        <v>1</v>
      </c>
      <c r="D92" s="54">
        <f>测试题!F94</f>
        <v>0</v>
      </c>
      <c r="E92" s="54"/>
      <c r="F92" s="54"/>
      <c r="G92" s="54"/>
      <c r="H92" s="54"/>
      <c r="I92" s="54"/>
      <c r="J92" s="54"/>
      <c r="K92" s="54"/>
      <c r="L92" s="54">
        <f>C92+B92</f>
        <v>1</v>
      </c>
      <c r="M92" s="54"/>
      <c r="N92" s="54"/>
      <c r="O92" s="54"/>
      <c r="P92" s="54"/>
      <c r="Q92" s="54"/>
      <c r="R92" s="54"/>
      <c r="S92" s="54"/>
      <c r="T92" s="54"/>
      <c r="U92" s="54"/>
      <c r="V92" s="54"/>
      <c r="W92" s="54">
        <f>C92+D92</f>
        <v>1</v>
      </c>
      <c r="X92" s="54"/>
      <c r="Y92" s="54">
        <f>C92+D92</f>
        <v>1</v>
      </c>
      <c r="Z92" s="54"/>
      <c r="AA92" s="54"/>
      <c r="AB92" s="54"/>
      <c r="AC92" s="54"/>
      <c r="AD92" s="54"/>
      <c r="AE92" s="54"/>
      <c r="AF92" s="54">
        <f>C92+B92</f>
        <v>1</v>
      </c>
      <c r="AG92" s="54"/>
      <c r="AH92" s="54"/>
      <c r="AI92" s="54"/>
      <c r="AJ92" s="54"/>
      <c r="AK92" s="54"/>
      <c r="AL92" s="54">
        <f>C92+B92</f>
        <v>1</v>
      </c>
    </row>
    <row r="93" customHeight="1" spans="1:38">
      <c r="A93" s="55">
        <f t="shared" si="2"/>
        <v>89</v>
      </c>
      <c r="B93" s="54">
        <f>测试题!D95</f>
        <v>3</v>
      </c>
      <c r="C93" s="54">
        <f>测试题!E95</f>
        <v>0</v>
      </c>
      <c r="D93" s="54">
        <f>测试题!F95</f>
        <v>0</v>
      </c>
      <c r="E93" s="54"/>
      <c r="F93" s="54"/>
      <c r="G93" s="54"/>
      <c r="H93" s="54"/>
      <c r="I93" s="54"/>
      <c r="J93" s="54"/>
      <c r="K93" s="54"/>
      <c r="L93" s="54">
        <f>C93+D93</f>
        <v>0</v>
      </c>
      <c r="M93" s="54"/>
      <c r="N93" s="54"/>
      <c r="O93" s="54"/>
      <c r="P93" s="54"/>
      <c r="Q93" s="54"/>
      <c r="R93" s="54"/>
      <c r="S93" s="54"/>
      <c r="T93" s="54"/>
      <c r="U93" s="54"/>
      <c r="V93" s="54"/>
      <c r="W93" s="54"/>
      <c r="X93" s="54">
        <f>C93+B93</f>
        <v>3</v>
      </c>
      <c r="Y93" s="54"/>
      <c r="Z93" s="54"/>
      <c r="AA93" s="54"/>
      <c r="AB93" s="54"/>
      <c r="AC93" s="54"/>
      <c r="AD93" s="54"/>
      <c r="AE93" s="54"/>
      <c r="AF93" s="54">
        <f>C93+D93</f>
        <v>0</v>
      </c>
      <c r="AG93" s="54"/>
      <c r="AH93" s="54"/>
      <c r="AI93" s="54"/>
      <c r="AJ93" s="54"/>
      <c r="AK93" s="54"/>
      <c r="AL93" s="54">
        <f>C93+D93</f>
        <v>0</v>
      </c>
    </row>
    <row r="94" customHeight="1" spans="1:38">
      <c r="A94" s="55">
        <f t="shared" si="2"/>
        <v>90</v>
      </c>
      <c r="B94" s="54">
        <f>测试题!D96</f>
        <v>3</v>
      </c>
      <c r="C94" s="54">
        <f>测试题!E96</f>
        <v>0</v>
      </c>
      <c r="D94" s="54">
        <f>测试题!F96</f>
        <v>0</v>
      </c>
      <c r="E94" s="54"/>
      <c r="F94" s="54">
        <f>C94+D94</f>
        <v>0</v>
      </c>
      <c r="G94" s="54"/>
      <c r="H94" s="54"/>
      <c r="I94" s="54"/>
      <c r="J94" s="54"/>
      <c r="K94" s="54"/>
      <c r="L94" s="54"/>
      <c r="M94" s="54"/>
      <c r="N94" s="54"/>
      <c r="O94" s="54"/>
      <c r="P94" s="54"/>
      <c r="Q94" s="54"/>
      <c r="R94" s="54"/>
      <c r="S94" s="54"/>
      <c r="T94" s="54"/>
      <c r="U94" s="54"/>
      <c r="V94" s="54"/>
      <c r="W94" s="54"/>
      <c r="X94" s="54"/>
      <c r="Y94" s="54"/>
      <c r="Z94" s="54"/>
      <c r="AA94" s="54">
        <f>C94+D94</f>
        <v>0</v>
      </c>
      <c r="AB94" s="54"/>
      <c r="AC94" s="54">
        <f>C94+B94</f>
        <v>3</v>
      </c>
      <c r="AD94" s="54"/>
      <c r="AE94" s="54"/>
      <c r="AF94" s="54"/>
      <c r="AG94" s="54"/>
      <c r="AH94" s="54"/>
      <c r="AI94" s="54"/>
      <c r="AJ94" s="54"/>
      <c r="AK94" s="54"/>
      <c r="AL94" s="54"/>
    </row>
    <row r="95" customHeight="1" spans="1:38">
      <c r="A95" s="55">
        <f t="shared" si="2"/>
        <v>91</v>
      </c>
      <c r="B95" s="54">
        <f>测试题!D97</f>
        <v>0</v>
      </c>
      <c r="C95" s="54">
        <f>测试题!E97</f>
        <v>0</v>
      </c>
      <c r="D95" s="54">
        <f>测试题!F97</f>
        <v>2</v>
      </c>
      <c r="E95" s="54"/>
      <c r="F95" s="54"/>
      <c r="G95" s="54"/>
      <c r="H95" s="54"/>
      <c r="I95" s="54"/>
      <c r="J95" s="54"/>
      <c r="K95" s="54"/>
      <c r="L95" s="54"/>
      <c r="M95" s="54"/>
      <c r="N95" s="54"/>
      <c r="O95" s="54"/>
      <c r="P95" s="54">
        <f>C95+D95-B95</f>
        <v>2</v>
      </c>
      <c r="Q95" s="54"/>
      <c r="R95" s="54">
        <f>C95+B95</f>
        <v>0</v>
      </c>
      <c r="S95" s="54"/>
      <c r="T95" s="54">
        <f>C95+B95</f>
        <v>0</v>
      </c>
      <c r="U95" s="54"/>
      <c r="V95" s="54"/>
      <c r="W95" s="54"/>
      <c r="X95" s="54"/>
      <c r="Y95" s="54"/>
      <c r="Z95" s="54"/>
      <c r="AA95" s="54"/>
      <c r="AB95" s="54"/>
      <c r="AC95" s="54"/>
      <c r="AD95" s="54"/>
      <c r="AE95" s="54"/>
      <c r="AF95" s="54"/>
      <c r="AG95" s="54"/>
      <c r="AH95" s="54"/>
      <c r="AI95" s="54"/>
      <c r="AJ95" s="54"/>
      <c r="AK95" s="54"/>
      <c r="AL95" s="54"/>
    </row>
    <row r="96" customHeight="1" spans="1:38">
      <c r="A96" s="55">
        <f t="shared" si="2"/>
        <v>92</v>
      </c>
      <c r="B96" s="54">
        <f>测试题!D98</f>
        <v>2</v>
      </c>
      <c r="C96" s="54">
        <f>测试题!E98</f>
        <v>0</v>
      </c>
      <c r="D96" s="54">
        <f>测试题!F98</f>
        <v>0</v>
      </c>
      <c r="E96" s="54"/>
      <c r="F96" s="54"/>
      <c r="G96" s="54"/>
      <c r="H96" s="54"/>
      <c r="I96" s="54"/>
      <c r="J96" s="54"/>
      <c r="K96" s="54"/>
      <c r="L96" s="54"/>
      <c r="M96" s="54"/>
      <c r="N96" s="54"/>
      <c r="O96" s="54"/>
      <c r="P96" s="54"/>
      <c r="Q96" s="54"/>
      <c r="R96" s="54"/>
      <c r="S96" s="54">
        <f>C96+B96</f>
        <v>2</v>
      </c>
      <c r="T96" s="54">
        <f>C96+D96</f>
        <v>0</v>
      </c>
      <c r="U96" s="54"/>
      <c r="V96" s="54"/>
      <c r="W96" s="54"/>
      <c r="X96" s="54"/>
      <c r="Y96" s="54"/>
      <c r="Z96" s="54">
        <f>C96+B96</f>
        <v>2</v>
      </c>
      <c r="AA96" s="54"/>
      <c r="AB96" s="54"/>
      <c r="AC96" s="54"/>
      <c r="AD96" s="54"/>
      <c r="AE96" s="54"/>
      <c r="AF96" s="54"/>
      <c r="AG96" s="54"/>
      <c r="AH96" s="54"/>
      <c r="AI96" s="54"/>
      <c r="AJ96" s="54"/>
      <c r="AK96" s="54"/>
      <c r="AL96" s="54"/>
    </row>
    <row r="97" customHeight="1" spans="1:38">
      <c r="A97" s="55">
        <f t="shared" si="2"/>
        <v>93</v>
      </c>
      <c r="B97" s="54">
        <f>测试题!D99</f>
        <v>0</v>
      </c>
      <c r="C97" s="54">
        <f>测试题!E99</f>
        <v>0</v>
      </c>
      <c r="D97" s="54">
        <f>测试题!F99</f>
        <v>3</v>
      </c>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f>C97+D97</f>
        <v>3</v>
      </c>
      <c r="AE97" s="54"/>
      <c r="AF97" s="54"/>
      <c r="AG97" s="54">
        <f>C97+B97</f>
        <v>0</v>
      </c>
      <c r="AH97" s="54"/>
      <c r="AI97" s="54"/>
      <c r="AJ97" s="54">
        <f>C97+B97</f>
        <v>0</v>
      </c>
      <c r="AK97" s="54"/>
      <c r="AL97" s="54"/>
    </row>
    <row r="98" customHeight="1" spans="1:38">
      <c r="A98" s="55">
        <f t="shared" si="2"/>
        <v>94</v>
      </c>
      <c r="B98" s="54">
        <f>测试题!D100</f>
        <v>0</v>
      </c>
      <c r="C98" s="54">
        <f>测试题!E100</f>
        <v>0</v>
      </c>
      <c r="D98" s="54">
        <f>测试题!F100</f>
        <v>2</v>
      </c>
      <c r="E98" s="54"/>
      <c r="F98" s="54">
        <f>C98+B98</f>
        <v>0</v>
      </c>
      <c r="G98" s="54"/>
      <c r="H98" s="54"/>
      <c r="I98" s="54">
        <f>C98+D98</f>
        <v>2</v>
      </c>
      <c r="J98" s="54"/>
      <c r="K98" s="54">
        <f>C98+D98</f>
        <v>2</v>
      </c>
      <c r="L98" s="54"/>
      <c r="M98" s="54"/>
      <c r="N98" s="54"/>
      <c r="O98" s="54"/>
      <c r="P98" s="54"/>
      <c r="Q98" s="54"/>
      <c r="R98" s="54"/>
      <c r="S98" s="54"/>
      <c r="T98" s="54"/>
      <c r="U98" s="54"/>
      <c r="V98" s="54"/>
      <c r="W98" s="54"/>
      <c r="X98" s="54"/>
      <c r="Y98" s="54"/>
      <c r="Z98" s="54"/>
      <c r="AA98" s="54"/>
      <c r="AB98" s="54"/>
      <c r="AC98" s="54"/>
      <c r="AD98" s="54"/>
      <c r="AE98" s="54"/>
      <c r="AF98" s="54"/>
      <c r="AG98" s="54">
        <f>C98+B98</f>
        <v>0</v>
      </c>
      <c r="AH98" s="54"/>
      <c r="AI98" s="54"/>
      <c r="AJ98" s="54"/>
      <c r="AK98" s="54"/>
      <c r="AL98" s="54"/>
    </row>
    <row r="99" customHeight="1" spans="1:38">
      <c r="A99" s="55">
        <f t="shared" si="2"/>
        <v>95</v>
      </c>
      <c r="B99" s="54">
        <f>测试题!D101</f>
        <v>0</v>
      </c>
      <c r="C99" s="54">
        <f>测试题!E101</f>
        <v>0</v>
      </c>
      <c r="D99" s="54">
        <f>测试题!F101</f>
        <v>3</v>
      </c>
      <c r="E99" s="54"/>
      <c r="F99" s="54"/>
      <c r="G99" s="54"/>
      <c r="H99" s="54"/>
      <c r="I99" s="54"/>
      <c r="J99" s="54"/>
      <c r="K99" s="54"/>
      <c r="L99" s="54">
        <f>$C99+$B99</f>
        <v>0</v>
      </c>
      <c r="M99" s="54"/>
      <c r="N99" s="54"/>
      <c r="O99" s="54"/>
      <c r="P99" s="54"/>
      <c r="Q99" s="54"/>
      <c r="R99" s="54"/>
      <c r="S99" s="54">
        <f>C99+D99</f>
        <v>3</v>
      </c>
      <c r="T99" s="54"/>
      <c r="U99" s="54"/>
      <c r="V99" s="54"/>
      <c r="W99" s="54"/>
      <c r="X99" s="54"/>
      <c r="Y99" s="54"/>
      <c r="Z99" s="54"/>
      <c r="AA99" s="54"/>
      <c r="AB99" s="54"/>
      <c r="AC99" s="54"/>
      <c r="AD99" s="54"/>
      <c r="AE99" s="54"/>
      <c r="AF99" s="54"/>
      <c r="AG99" s="54"/>
      <c r="AH99" s="54"/>
      <c r="AI99" s="54"/>
      <c r="AJ99" s="54"/>
      <c r="AK99" s="54"/>
      <c r="AL99" s="54">
        <f>$C99+$B99</f>
        <v>0</v>
      </c>
    </row>
    <row r="100" customHeight="1" spans="1:38">
      <c r="A100" s="55">
        <f t="shared" si="2"/>
        <v>96</v>
      </c>
      <c r="B100" s="54">
        <f>测试题!D102</f>
        <v>2</v>
      </c>
      <c r="C100" s="54">
        <f>测试题!E102</f>
        <v>0</v>
      </c>
      <c r="D100" s="54">
        <f>测试题!F102</f>
        <v>0</v>
      </c>
      <c r="E100" s="54"/>
      <c r="F100" s="54">
        <f>C100+D100</f>
        <v>0</v>
      </c>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f>C100+B100</f>
        <v>2</v>
      </c>
      <c r="AL100" s="54"/>
    </row>
    <row r="101" customHeight="1" spans="1:38">
      <c r="A101" s="55">
        <f t="shared" si="2"/>
        <v>97</v>
      </c>
      <c r="B101" s="54">
        <f>测试题!D103</f>
        <v>2</v>
      </c>
      <c r="C101" s="54">
        <f>测试题!E103</f>
        <v>0</v>
      </c>
      <c r="D101" s="54">
        <f>测试题!F103</f>
        <v>0</v>
      </c>
      <c r="E101" s="54"/>
      <c r="F101" s="54"/>
      <c r="G101" s="54">
        <f>C101+B101</f>
        <v>2</v>
      </c>
      <c r="H101" s="54"/>
      <c r="I101" s="54"/>
      <c r="J101" s="54">
        <f>C101+D101</f>
        <v>0</v>
      </c>
      <c r="K101" s="54"/>
      <c r="L101" s="54"/>
      <c r="M101" s="54"/>
      <c r="N101" s="54"/>
      <c r="O101" s="54"/>
      <c r="P101" s="54"/>
      <c r="Q101" s="54"/>
      <c r="R101" s="54">
        <f>C101+D101</f>
        <v>0</v>
      </c>
      <c r="S101" s="54"/>
      <c r="T101" s="54"/>
      <c r="U101" s="54"/>
      <c r="V101" s="54"/>
      <c r="W101" s="54"/>
      <c r="X101" s="54"/>
      <c r="Y101" s="54"/>
      <c r="Z101" s="54"/>
      <c r="AA101" s="54"/>
      <c r="AB101" s="54"/>
      <c r="AC101" s="54"/>
      <c r="AD101" s="54"/>
      <c r="AE101" s="54"/>
      <c r="AF101" s="54"/>
      <c r="AG101" s="54"/>
      <c r="AH101" s="54"/>
      <c r="AI101" s="54"/>
      <c r="AJ101" s="54"/>
      <c r="AK101" s="54"/>
      <c r="AL101" s="54"/>
    </row>
    <row r="102" customHeight="1" spans="1:38">
      <c r="A102" s="55">
        <f t="shared" si="2"/>
        <v>98</v>
      </c>
      <c r="B102" s="54">
        <f>测试题!D104</f>
        <v>0</v>
      </c>
      <c r="C102" s="54">
        <f>测试题!E104</f>
        <v>0</v>
      </c>
      <c r="D102" s="54">
        <f>测试题!F104</f>
        <v>3</v>
      </c>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f>C102+D102</f>
        <v>3</v>
      </c>
      <c r="AJ102" s="54"/>
      <c r="AK102" s="54"/>
      <c r="AL102" s="54"/>
    </row>
    <row r="103" customHeight="1" spans="1:38">
      <c r="A103" s="55">
        <f t="shared" si="2"/>
        <v>99</v>
      </c>
      <c r="B103" s="54">
        <f>测试题!D105</f>
        <v>2</v>
      </c>
      <c r="C103" s="54">
        <f>测试题!E105</f>
        <v>0</v>
      </c>
      <c r="D103" s="54">
        <f>测试题!F105</f>
        <v>0</v>
      </c>
      <c r="E103" s="54"/>
      <c r="F103" s="54"/>
      <c r="G103" s="54"/>
      <c r="H103" s="54"/>
      <c r="I103" s="54"/>
      <c r="J103" s="54"/>
      <c r="K103" s="54"/>
      <c r="L103" s="54">
        <f>C103+D103</f>
        <v>0</v>
      </c>
      <c r="M103" s="54"/>
      <c r="N103" s="54"/>
      <c r="O103" s="54"/>
      <c r="P103" s="54"/>
      <c r="Q103" s="54"/>
      <c r="R103" s="54">
        <f>C103+B103</f>
        <v>2</v>
      </c>
      <c r="S103" s="54"/>
      <c r="T103" s="54"/>
      <c r="U103" s="54"/>
      <c r="V103" s="54"/>
      <c r="W103" s="54"/>
      <c r="X103" s="54"/>
      <c r="Y103" s="54"/>
      <c r="Z103" s="54"/>
      <c r="AA103" s="54"/>
      <c r="AB103" s="54"/>
      <c r="AC103" s="54"/>
      <c r="AD103" s="54"/>
      <c r="AE103" s="54">
        <f>C103+D103</f>
        <v>0</v>
      </c>
      <c r="AF103" s="54"/>
      <c r="AG103" s="54"/>
      <c r="AH103" s="54"/>
      <c r="AI103" s="54"/>
      <c r="AJ103" s="54"/>
      <c r="AK103" s="54"/>
      <c r="AL103" s="54"/>
    </row>
    <row r="104" customHeight="1" spans="1:38">
      <c r="A104" s="55">
        <f t="shared" si="2"/>
        <v>100</v>
      </c>
      <c r="B104" s="54">
        <f>测试题!D106</f>
        <v>3</v>
      </c>
      <c r="C104" s="54">
        <f>测试题!E106</f>
        <v>0</v>
      </c>
      <c r="D104" s="54">
        <f>测试题!F106</f>
        <v>0</v>
      </c>
      <c r="E104" s="54"/>
      <c r="F104" s="54">
        <f>C104+B104</f>
        <v>3</v>
      </c>
      <c r="G104" s="54"/>
      <c r="H104" s="54"/>
      <c r="I104" s="54"/>
      <c r="J104" s="54"/>
      <c r="K104" s="54"/>
      <c r="L104" s="54"/>
      <c r="M104" s="54"/>
      <c r="N104" s="54"/>
      <c r="O104" s="54"/>
      <c r="P104" s="54"/>
      <c r="Q104" s="54"/>
      <c r="R104" s="54"/>
      <c r="S104" s="54"/>
      <c r="T104" s="54"/>
      <c r="U104" s="54"/>
      <c r="V104" s="54">
        <f>C104+D104</f>
        <v>0</v>
      </c>
      <c r="W104" s="54"/>
      <c r="X104" s="54"/>
      <c r="Y104" s="54"/>
      <c r="Z104" s="54"/>
      <c r="AA104" s="54"/>
      <c r="AB104" s="54"/>
      <c r="AC104" s="54"/>
      <c r="AD104" s="54"/>
      <c r="AE104" s="54"/>
      <c r="AF104" s="54"/>
      <c r="AG104" s="54"/>
      <c r="AH104" s="54"/>
      <c r="AI104" s="54"/>
      <c r="AJ104" s="54"/>
      <c r="AK104" s="54">
        <f>C104+D104</f>
        <v>0</v>
      </c>
      <c r="AL104" s="54"/>
    </row>
    <row r="105" customHeight="1" spans="1:38">
      <c r="A105" s="55">
        <f t="shared" si="2"/>
        <v>101</v>
      </c>
      <c r="B105" s="54">
        <f>测试题!D107</f>
        <v>0</v>
      </c>
      <c r="C105" s="54">
        <f>测试题!E107</f>
        <v>0</v>
      </c>
      <c r="D105" s="54">
        <f>测试题!F107</f>
        <v>2</v>
      </c>
      <c r="E105" s="54"/>
      <c r="F105" s="54"/>
      <c r="G105" s="54"/>
      <c r="H105" s="54"/>
      <c r="I105" s="54"/>
      <c r="J105" s="54"/>
      <c r="K105" s="54"/>
      <c r="L105" s="54"/>
      <c r="M105" s="54"/>
      <c r="N105" s="54"/>
      <c r="O105" s="54"/>
      <c r="P105" s="54"/>
      <c r="Q105" s="54">
        <f>C105+D105</f>
        <v>2</v>
      </c>
      <c r="R105" s="54"/>
      <c r="S105" s="54"/>
      <c r="T105" s="54"/>
      <c r="U105" s="54"/>
      <c r="V105" s="54"/>
      <c r="W105" s="54"/>
      <c r="X105" s="54"/>
      <c r="Y105" s="54"/>
      <c r="Z105" s="54"/>
      <c r="AA105" s="54"/>
      <c r="AB105" s="54"/>
      <c r="AC105" s="54"/>
      <c r="AD105" s="54"/>
      <c r="AE105" s="54"/>
      <c r="AF105" s="54"/>
      <c r="AG105" s="54"/>
      <c r="AH105" s="54"/>
      <c r="AI105" s="54">
        <f>C105+B105</f>
        <v>0</v>
      </c>
      <c r="AJ105" s="54">
        <f>C105+B105</f>
        <v>0</v>
      </c>
      <c r="AK105" s="54"/>
      <c r="AL105" s="54"/>
    </row>
    <row r="106" customHeight="1" spans="1:38">
      <c r="A106" s="55">
        <f t="shared" si="2"/>
        <v>102</v>
      </c>
      <c r="B106" s="54">
        <f>测试题!D108</f>
        <v>0</v>
      </c>
      <c r="C106" s="54">
        <f>测试题!E108</f>
        <v>0</v>
      </c>
      <c r="D106" s="54">
        <f>测试题!F108</f>
        <v>3</v>
      </c>
      <c r="E106" s="54"/>
      <c r="F106" s="54"/>
      <c r="G106" s="54"/>
      <c r="H106" s="54"/>
      <c r="I106" s="54"/>
      <c r="J106" s="54"/>
      <c r="K106" s="54"/>
      <c r="L106" s="54"/>
      <c r="M106" s="54"/>
      <c r="N106" s="54"/>
      <c r="O106" s="54"/>
      <c r="P106" s="54">
        <f>C106+B106</f>
        <v>0</v>
      </c>
      <c r="Q106" s="54"/>
      <c r="R106" s="54"/>
      <c r="S106" s="54"/>
      <c r="T106" s="54"/>
      <c r="U106" s="54"/>
      <c r="V106" s="54"/>
      <c r="W106" s="54"/>
      <c r="X106" s="54"/>
      <c r="Y106" s="54"/>
      <c r="Z106" s="54"/>
      <c r="AA106" s="54"/>
      <c r="AB106" s="54"/>
      <c r="AC106" s="54"/>
      <c r="AD106" s="54"/>
      <c r="AE106" s="54"/>
      <c r="AF106" s="54">
        <f>C106+D106</f>
        <v>3</v>
      </c>
      <c r="AG106" s="54"/>
      <c r="AH106" s="54"/>
      <c r="AI106" s="54"/>
      <c r="AJ106" s="54"/>
      <c r="AK106" s="54"/>
      <c r="AL106" s="54"/>
    </row>
    <row r="107" customHeight="1" spans="1:38">
      <c r="A107" s="55">
        <f t="shared" si="2"/>
        <v>103</v>
      </c>
      <c r="B107" s="54">
        <f>测试题!D109</f>
        <v>0</v>
      </c>
      <c r="C107" s="54">
        <f>测试题!E109</f>
        <v>0</v>
      </c>
      <c r="D107" s="54">
        <f>测试题!F109</f>
        <v>2</v>
      </c>
      <c r="E107" s="54"/>
      <c r="F107" s="54"/>
      <c r="G107" s="54"/>
      <c r="H107" s="54"/>
      <c r="I107" s="54"/>
      <c r="J107" s="54"/>
      <c r="K107" s="54"/>
      <c r="L107" s="54"/>
      <c r="M107" s="54"/>
      <c r="N107" s="54"/>
      <c r="O107" s="54"/>
      <c r="P107" s="54">
        <f>C107+B107</f>
        <v>0</v>
      </c>
      <c r="Q107" s="54"/>
      <c r="R107" s="54"/>
      <c r="S107" s="54"/>
      <c r="T107" s="54"/>
      <c r="U107" s="54"/>
      <c r="V107" s="54"/>
      <c r="W107" s="54"/>
      <c r="X107" s="54"/>
      <c r="Y107" s="54"/>
      <c r="Z107" s="54"/>
      <c r="AA107" s="54"/>
      <c r="AB107" s="54"/>
      <c r="AC107" s="54"/>
      <c r="AD107" s="54"/>
      <c r="AE107" s="54"/>
      <c r="AF107" s="54">
        <f>C107+B107</f>
        <v>0</v>
      </c>
      <c r="AG107" s="54"/>
      <c r="AH107" s="54"/>
      <c r="AI107" s="54"/>
      <c r="AJ107" s="54"/>
      <c r="AK107" s="54"/>
      <c r="AL107" s="54"/>
    </row>
    <row r="108" customHeight="1" spans="1:38">
      <c r="A108" s="55">
        <f t="shared" si="2"/>
        <v>104</v>
      </c>
      <c r="B108" s="54">
        <f>测试题!D110</f>
        <v>0</v>
      </c>
      <c r="C108" s="54">
        <f>测试题!E110</f>
        <v>1</v>
      </c>
      <c r="D108" s="54">
        <f>测试题!F110</f>
        <v>0</v>
      </c>
      <c r="E108" s="54">
        <f>C108+D108</f>
        <v>1</v>
      </c>
      <c r="F108" s="54"/>
      <c r="G108" s="54"/>
      <c r="H108" s="54"/>
      <c r="I108" s="54"/>
      <c r="J108" s="54"/>
      <c r="K108" s="54">
        <f>C108+B108</f>
        <v>1</v>
      </c>
      <c r="L108" s="54"/>
      <c r="M108" s="54"/>
      <c r="N108" s="54"/>
      <c r="O108" s="54"/>
      <c r="P108" s="54"/>
      <c r="Q108" s="54"/>
      <c r="R108" s="54"/>
      <c r="S108" s="54"/>
      <c r="T108" s="54"/>
      <c r="U108" s="54"/>
      <c r="V108" s="54"/>
      <c r="W108" s="54"/>
      <c r="X108" s="54"/>
      <c r="Y108" s="54"/>
      <c r="Z108" s="54"/>
      <c r="AA108" s="54"/>
      <c r="AB108" s="54"/>
      <c r="AC108" s="54"/>
      <c r="AD108" s="54"/>
      <c r="AE108" s="54"/>
      <c r="AF108" s="54"/>
      <c r="AG108" s="54">
        <f>C108+B108</f>
        <v>1</v>
      </c>
      <c r="AH108" s="54"/>
      <c r="AI108" s="54"/>
      <c r="AJ108" s="54"/>
      <c r="AK108" s="54"/>
      <c r="AL108" s="54"/>
    </row>
    <row r="109" customHeight="1" spans="1:38">
      <c r="A109" s="55">
        <f t="shared" si="2"/>
        <v>105</v>
      </c>
      <c r="B109" s="54">
        <f>测试题!D111</f>
        <v>0</v>
      </c>
      <c r="C109" s="54">
        <f>测试题!E111</f>
        <v>0</v>
      </c>
      <c r="D109" s="54">
        <f>测试题!F111</f>
        <v>2</v>
      </c>
      <c r="E109" s="54"/>
      <c r="F109" s="54"/>
      <c r="G109" s="54"/>
      <c r="H109" s="54"/>
      <c r="I109" s="54"/>
      <c r="J109" s="54"/>
      <c r="K109" s="54"/>
      <c r="L109" s="54"/>
      <c r="M109" s="54"/>
      <c r="N109" s="54"/>
      <c r="O109" s="54"/>
      <c r="P109" s="54">
        <f>C109+D109</f>
        <v>2</v>
      </c>
      <c r="Q109" s="54"/>
      <c r="R109" s="54"/>
      <c r="S109" s="54"/>
      <c r="T109" s="54"/>
      <c r="U109" s="54"/>
      <c r="V109" s="54"/>
      <c r="W109" s="54"/>
      <c r="X109" s="54"/>
      <c r="Y109" s="54"/>
      <c r="Z109" s="54"/>
      <c r="AA109" s="54"/>
      <c r="AB109" s="54"/>
      <c r="AC109" s="54"/>
      <c r="AD109" s="54"/>
      <c r="AE109" s="54"/>
      <c r="AF109" s="54"/>
      <c r="AG109" s="54"/>
      <c r="AH109" s="54"/>
      <c r="AI109" s="54"/>
      <c r="AJ109" s="54"/>
      <c r="AK109" s="54"/>
      <c r="AL109" s="54">
        <f>C109+B109</f>
        <v>0</v>
      </c>
    </row>
    <row r="110" customHeight="1" spans="1:38">
      <c r="A110" s="55">
        <f t="shared" si="2"/>
        <v>106</v>
      </c>
      <c r="B110" s="54">
        <f>测试题!D112</f>
        <v>3</v>
      </c>
      <c r="C110" s="54">
        <f>测试题!E112</f>
        <v>0</v>
      </c>
      <c r="D110" s="54">
        <f>测试题!F112</f>
        <v>0</v>
      </c>
      <c r="E110" s="54"/>
      <c r="F110" s="54"/>
      <c r="G110" s="54"/>
      <c r="H110" s="54"/>
      <c r="I110" s="54"/>
      <c r="J110" s="54"/>
      <c r="K110" s="54"/>
      <c r="L110" s="54"/>
      <c r="M110" s="54"/>
      <c r="N110" s="54"/>
      <c r="O110" s="54"/>
      <c r="P110" s="54"/>
      <c r="Q110" s="54"/>
      <c r="R110" s="54"/>
      <c r="S110" s="54"/>
      <c r="T110" s="54"/>
      <c r="U110" s="54">
        <f>C110+B110-D110</f>
        <v>3</v>
      </c>
      <c r="V110" s="54"/>
      <c r="W110" s="54"/>
      <c r="X110" s="54"/>
      <c r="Y110" s="54"/>
      <c r="Z110" s="54"/>
      <c r="AA110" s="54"/>
      <c r="AB110" s="54"/>
      <c r="AC110" s="54">
        <f>C110+B110</f>
        <v>3</v>
      </c>
      <c r="AD110" s="54"/>
      <c r="AE110" s="54"/>
      <c r="AF110" s="54"/>
      <c r="AG110" s="54"/>
      <c r="AH110" s="54"/>
      <c r="AI110" s="54"/>
      <c r="AJ110" s="54"/>
      <c r="AK110" s="54"/>
      <c r="AL110" s="54"/>
    </row>
    <row r="111" customHeight="1" spans="1:38">
      <c r="A111" s="55">
        <f t="shared" si="2"/>
        <v>107</v>
      </c>
      <c r="B111" s="54">
        <f>测试题!D113</f>
        <v>0</v>
      </c>
      <c r="C111" s="54">
        <f>测试题!E113</f>
        <v>1</v>
      </c>
      <c r="D111" s="54">
        <f>测试题!F113</f>
        <v>0</v>
      </c>
      <c r="E111" s="54"/>
      <c r="F111" s="54"/>
      <c r="G111" s="54"/>
      <c r="H111" s="54"/>
      <c r="I111" s="54"/>
      <c r="J111" s="54"/>
      <c r="K111" s="54"/>
      <c r="L111" s="54"/>
      <c r="M111" s="54"/>
      <c r="N111" s="54"/>
      <c r="O111" s="54"/>
      <c r="P111" s="54">
        <f>C111+B111</f>
        <v>1</v>
      </c>
      <c r="Q111" s="54"/>
      <c r="R111" s="54"/>
      <c r="S111" s="54"/>
      <c r="T111" s="54"/>
      <c r="U111" s="54"/>
      <c r="V111" s="54"/>
      <c r="W111" s="54"/>
      <c r="X111" s="54"/>
      <c r="Y111" s="54"/>
      <c r="Z111" s="54"/>
      <c r="AA111" s="54"/>
      <c r="AB111" s="54"/>
      <c r="AC111" s="54"/>
      <c r="AD111" s="54"/>
      <c r="AE111" s="54"/>
      <c r="AF111" s="54"/>
      <c r="AG111" s="54"/>
      <c r="AH111" s="54"/>
      <c r="AI111" s="54"/>
      <c r="AJ111" s="54"/>
      <c r="AK111" s="54"/>
      <c r="AL111" s="54">
        <f>C111+D111</f>
        <v>1</v>
      </c>
    </row>
    <row r="112" customHeight="1" spans="1:38">
      <c r="A112" s="55">
        <f t="shared" si="2"/>
        <v>108</v>
      </c>
      <c r="B112" s="54">
        <f>测试题!D114</f>
        <v>3</v>
      </c>
      <c r="C112" s="54">
        <f>测试题!E114</f>
        <v>0</v>
      </c>
      <c r="D112" s="54">
        <f>测试题!F114</f>
        <v>0</v>
      </c>
      <c r="E112" s="54"/>
      <c r="F112" s="54"/>
      <c r="G112" s="54"/>
      <c r="H112" s="54"/>
      <c r="I112" s="54"/>
      <c r="J112" s="54">
        <f>C112+D112</f>
        <v>0</v>
      </c>
      <c r="K112" s="54"/>
      <c r="L112" s="54"/>
      <c r="M112" s="54"/>
      <c r="N112" s="54"/>
      <c r="O112" s="54"/>
      <c r="P112" s="54"/>
      <c r="Q112" s="54"/>
      <c r="R112" s="54"/>
      <c r="S112" s="54"/>
      <c r="T112" s="54"/>
      <c r="U112" s="54"/>
      <c r="V112" s="54"/>
      <c r="W112" s="54"/>
      <c r="X112" s="54"/>
      <c r="Y112" s="54"/>
      <c r="Z112" s="54"/>
      <c r="AA112" s="54">
        <f>C112+B112</f>
        <v>3</v>
      </c>
      <c r="AB112" s="54"/>
      <c r="AC112" s="54"/>
      <c r="AD112" s="54"/>
      <c r="AE112" s="54"/>
      <c r="AF112" s="54"/>
      <c r="AG112" s="54"/>
      <c r="AH112" s="54"/>
      <c r="AI112" s="54"/>
      <c r="AJ112" s="54"/>
      <c r="AK112" s="54"/>
      <c r="AL112" s="54"/>
    </row>
    <row r="113" customHeight="1" spans="1:38">
      <c r="A113" s="55">
        <f t="shared" si="2"/>
        <v>109</v>
      </c>
      <c r="B113" s="54">
        <f>测试题!D115</f>
        <v>2</v>
      </c>
      <c r="C113" s="54">
        <f>测试题!E115</f>
        <v>0</v>
      </c>
      <c r="D113" s="54">
        <f>测试题!F115</f>
        <v>0</v>
      </c>
      <c r="E113" s="54">
        <f>C113+B113</f>
        <v>2</v>
      </c>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f>C113+D113</f>
        <v>0</v>
      </c>
      <c r="AF113" s="54"/>
      <c r="AG113" s="54"/>
      <c r="AH113" s="54"/>
      <c r="AI113" s="54"/>
      <c r="AJ113" s="54"/>
      <c r="AK113" s="54"/>
      <c r="AL113" s="54"/>
    </row>
    <row r="114" customHeight="1" spans="1:38">
      <c r="A114" s="55">
        <f t="shared" si="2"/>
        <v>110</v>
      </c>
      <c r="B114" s="54">
        <f>测试题!D116</f>
        <v>3</v>
      </c>
      <c r="C114" s="54">
        <f>测试题!E116</f>
        <v>0</v>
      </c>
      <c r="D114" s="54">
        <f>测试题!F116</f>
        <v>0</v>
      </c>
      <c r="E114" s="54">
        <f>C114+D114</f>
        <v>0</v>
      </c>
      <c r="F114" s="54"/>
      <c r="G114" s="54"/>
      <c r="H114" s="54"/>
      <c r="I114" s="54"/>
      <c r="J114" s="54"/>
      <c r="K114" s="54"/>
      <c r="L114" s="54"/>
      <c r="M114" s="54"/>
      <c r="N114" s="54"/>
      <c r="O114" s="54"/>
      <c r="P114" s="54"/>
      <c r="Q114" s="54"/>
      <c r="R114" s="54"/>
      <c r="S114" s="54"/>
      <c r="T114" s="54"/>
      <c r="U114" s="54"/>
      <c r="V114" s="54"/>
      <c r="W114" s="54"/>
      <c r="X114" s="54">
        <f>C114+B114</f>
        <v>3</v>
      </c>
      <c r="Y114" s="54"/>
      <c r="Z114" s="54"/>
      <c r="AA114" s="54"/>
      <c r="AB114" s="54"/>
      <c r="AC114" s="54"/>
      <c r="AD114" s="54"/>
      <c r="AE114" s="54"/>
      <c r="AF114" s="54"/>
      <c r="AG114" s="54"/>
      <c r="AH114" s="54"/>
      <c r="AI114" s="54"/>
      <c r="AJ114" s="54"/>
      <c r="AK114" s="54"/>
      <c r="AL114" s="54"/>
    </row>
    <row r="115" customHeight="1" spans="1:38">
      <c r="A115" s="55">
        <f t="shared" si="2"/>
        <v>111</v>
      </c>
      <c r="B115" s="54">
        <f>测试题!D117</f>
        <v>3</v>
      </c>
      <c r="C115" s="54">
        <f>测试题!E117</f>
        <v>0</v>
      </c>
      <c r="D115" s="54">
        <f>测试题!F117</f>
        <v>0</v>
      </c>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f>C115+B115</f>
        <v>3</v>
      </c>
      <c r="AC115" s="54"/>
      <c r="AD115" s="54"/>
      <c r="AE115" s="54"/>
      <c r="AF115" s="54">
        <f>C115+D115</f>
        <v>0</v>
      </c>
      <c r="AG115" s="54"/>
      <c r="AH115" s="54"/>
      <c r="AI115" s="54"/>
      <c r="AJ115" s="54"/>
      <c r="AK115" s="54"/>
      <c r="AL115" s="54"/>
    </row>
    <row r="116" customHeight="1" spans="1:38">
      <c r="A116" s="55">
        <f t="shared" si="2"/>
        <v>112</v>
      </c>
      <c r="B116" s="54">
        <f>测试题!D118</f>
        <v>2</v>
      </c>
      <c r="C116" s="54">
        <f>测试题!E118</f>
        <v>0</v>
      </c>
      <c r="D116" s="54">
        <f>测试题!F118</f>
        <v>0</v>
      </c>
      <c r="E116" s="54"/>
      <c r="F116" s="54"/>
      <c r="G116" s="54"/>
      <c r="H116" s="54">
        <f>C116+D116</f>
        <v>0</v>
      </c>
      <c r="I116" s="54"/>
      <c r="J116" s="54"/>
      <c r="K116" s="54"/>
      <c r="L116" s="54"/>
      <c r="M116" s="54"/>
      <c r="N116" s="54">
        <f>C116+D116</f>
        <v>0</v>
      </c>
      <c r="O116" s="54">
        <f>C116+D116</f>
        <v>0</v>
      </c>
      <c r="P116" s="54"/>
      <c r="Q116" s="54"/>
      <c r="R116" s="54"/>
      <c r="S116" s="54"/>
      <c r="T116" s="54"/>
      <c r="U116" s="54"/>
      <c r="V116" s="54">
        <f>C116+B116</f>
        <v>2</v>
      </c>
      <c r="W116" s="54"/>
      <c r="X116" s="54"/>
      <c r="Y116" s="54"/>
      <c r="Z116" s="54"/>
      <c r="AA116" s="54"/>
      <c r="AB116" s="54"/>
      <c r="AC116" s="54"/>
      <c r="AD116" s="54"/>
      <c r="AE116" s="54"/>
      <c r="AF116" s="54"/>
      <c r="AG116" s="54"/>
      <c r="AH116" s="54"/>
      <c r="AI116" s="54"/>
      <c r="AJ116" s="54"/>
      <c r="AK116" s="54"/>
      <c r="AL116" s="54"/>
    </row>
    <row r="117" customHeight="1" spans="1:38">
      <c r="A117" s="55">
        <f t="shared" si="2"/>
        <v>113</v>
      </c>
      <c r="B117" s="54">
        <f>测试题!D119</f>
        <v>2</v>
      </c>
      <c r="C117" s="54">
        <f>测试题!E119</f>
        <v>0</v>
      </c>
      <c r="D117" s="54">
        <f>测试题!F119</f>
        <v>0</v>
      </c>
      <c r="E117" s="54"/>
      <c r="F117" s="54"/>
      <c r="G117" s="54"/>
      <c r="H117" s="54"/>
      <c r="I117" s="54"/>
      <c r="J117" s="54"/>
      <c r="K117" s="54"/>
      <c r="L117" s="54"/>
      <c r="M117" s="54"/>
      <c r="N117" s="54">
        <f>C117+B117</f>
        <v>2</v>
      </c>
      <c r="O117" s="54"/>
      <c r="P117" s="54"/>
      <c r="Q117" s="54"/>
      <c r="R117" s="54"/>
      <c r="S117" s="54"/>
      <c r="T117" s="54"/>
      <c r="U117" s="54"/>
      <c r="V117" s="54"/>
      <c r="W117" s="54"/>
      <c r="X117" s="54"/>
      <c r="Y117" s="54"/>
      <c r="Z117" s="54"/>
      <c r="AA117" s="54"/>
      <c r="AB117" s="54"/>
      <c r="AC117" s="54"/>
      <c r="AD117" s="54"/>
      <c r="AE117" s="54"/>
      <c r="AF117" s="54"/>
      <c r="AG117" s="54"/>
      <c r="AH117" s="54"/>
      <c r="AI117" s="54">
        <f>C117+D117</f>
        <v>0</v>
      </c>
      <c r="AJ117" s="54"/>
      <c r="AK117" s="54"/>
      <c r="AL117" s="54"/>
    </row>
    <row r="118" customHeight="1" spans="1:38">
      <c r="A118" s="55">
        <f t="shared" si="2"/>
        <v>114</v>
      </c>
      <c r="B118" s="54">
        <f>测试题!D120</f>
        <v>0</v>
      </c>
      <c r="C118" s="54">
        <f>测试题!E120</f>
        <v>0</v>
      </c>
      <c r="D118" s="54">
        <f>测试题!F120</f>
        <v>3</v>
      </c>
      <c r="E118" s="54"/>
      <c r="F118" s="54"/>
      <c r="G118" s="54"/>
      <c r="H118" s="54"/>
      <c r="I118" s="54"/>
      <c r="J118" s="54"/>
      <c r="K118" s="54"/>
      <c r="L118" s="54"/>
      <c r="M118" s="54"/>
      <c r="N118" s="54"/>
      <c r="O118" s="54"/>
      <c r="P118" s="54"/>
      <c r="Q118" s="54"/>
      <c r="R118" s="54"/>
      <c r="S118" s="54"/>
      <c r="T118" s="54"/>
      <c r="U118" s="54">
        <f>C118+D118</f>
        <v>3</v>
      </c>
      <c r="V118" s="54"/>
      <c r="W118" s="54"/>
      <c r="X118" s="54"/>
      <c r="Y118" s="54"/>
      <c r="Z118" s="54"/>
      <c r="AA118" s="54"/>
      <c r="AB118" s="54"/>
      <c r="AC118" s="54"/>
      <c r="AD118" s="54"/>
      <c r="AE118" s="54"/>
      <c r="AF118" s="54">
        <f>C118+B118</f>
        <v>0</v>
      </c>
      <c r="AG118" s="54"/>
      <c r="AH118" s="54"/>
      <c r="AI118" s="54"/>
      <c r="AJ118" s="54"/>
      <c r="AK118" s="54"/>
      <c r="AL118" s="54"/>
    </row>
    <row r="119" customHeight="1" spans="1:38">
      <c r="A119" s="55">
        <f t="shared" si="2"/>
        <v>115</v>
      </c>
      <c r="B119" s="54">
        <f>测试题!D121</f>
        <v>0</v>
      </c>
      <c r="C119" s="54">
        <f>测试题!E121</f>
        <v>0</v>
      </c>
      <c r="D119" s="54">
        <f>测试题!F121</f>
        <v>2</v>
      </c>
      <c r="E119" s="54"/>
      <c r="F119" s="54"/>
      <c r="G119" s="54"/>
      <c r="H119" s="54"/>
      <c r="I119" s="54"/>
      <c r="J119" s="54"/>
      <c r="K119" s="54"/>
      <c r="L119" s="54"/>
      <c r="M119" s="54"/>
      <c r="N119" s="54"/>
      <c r="O119" s="54"/>
      <c r="P119" s="54"/>
      <c r="Q119" s="54"/>
      <c r="R119" s="54">
        <f>C119+D119</f>
        <v>2</v>
      </c>
      <c r="S119" s="54"/>
      <c r="T119" s="54"/>
      <c r="U119" s="54"/>
      <c r="V119" s="54"/>
      <c r="W119" s="54"/>
      <c r="X119" s="54"/>
      <c r="Y119" s="54">
        <f>C119+B119</f>
        <v>0</v>
      </c>
      <c r="Z119" s="54"/>
      <c r="AA119" s="54"/>
      <c r="AB119" s="54"/>
      <c r="AC119" s="54"/>
      <c r="AD119" s="54"/>
      <c r="AE119" s="54"/>
      <c r="AF119" s="54"/>
      <c r="AG119" s="54"/>
      <c r="AH119" s="54"/>
      <c r="AI119" s="54"/>
      <c r="AJ119" s="54"/>
      <c r="AK119" s="54"/>
      <c r="AL119" s="54"/>
    </row>
    <row r="120" customHeight="1" spans="1:38">
      <c r="A120" s="55">
        <f t="shared" si="2"/>
        <v>116</v>
      </c>
      <c r="B120" s="54">
        <f>测试题!D122</f>
        <v>0</v>
      </c>
      <c r="C120" s="54">
        <f>测试题!E122</f>
        <v>0</v>
      </c>
      <c r="D120" s="54">
        <f>测试题!F122</f>
        <v>2</v>
      </c>
      <c r="E120" s="54"/>
      <c r="F120" s="54"/>
      <c r="G120" s="54"/>
      <c r="H120" s="54"/>
      <c r="I120" s="54"/>
      <c r="J120" s="54"/>
      <c r="K120" s="54"/>
      <c r="L120" s="54"/>
      <c r="M120" s="54"/>
      <c r="N120" s="54"/>
      <c r="O120" s="54"/>
      <c r="P120" s="54"/>
      <c r="Q120" s="54"/>
      <c r="R120" s="54"/>
      <c r="S120" s="54"/>
      <c r="T120" s="54"/>
      <c r="U120" s="54"/>
      <c r="V120" s="54"/>
      <c r="W120" s="54"/>
      <c r="X120" s="54"/>
      <c r="Y120" s="54">
        <f>C120+B120</f>
        <v>0</v>
      </c>
      <c r="Z120" s="54"/>
      <c r="AA120" s="54"/>
      <c r="AB120" s="54"/>
      <c r="AC120" s="54"/>
      <c r="AD120" s="54"/>
      <c r="AE120" s="54"/>
      <c r="AF120" s="54"/>
      <c r="AG120" s="54">
        <f>C120+D120</f>
        <v>2</v>
      </c>
      <c r="AH120" s="54"/>
      <c r="AI120" s="54"/>
      <c r="AJ120" s="54"/>
      <c r="AK120" s="54"/>
      <c r="AL120" s="54"/>
    </row>
    <row r="121" customHeight="1" spans="1:38">
      <c r="A121" s="55">
        <f t="shared" si="2"/>
        <v>117</v>
      </c>
      <c r="B121" s="54">
        <f>测试题!D123</f>
        <v>0</v>
      </c>
      <c r="C121" s="54">
        <f>测试题!E123</f>
        <v>0</v>
      </c>
      <c r="D121" s="54">
        <f>测试题!F123</f>
        <v>3</v>
      </c>
      <c r="E121" s="54"/>
      <c r="F121" s="54"/>
      <c r="G121" s="54"/>
      <c r="H121" s="54"/>
      <c r="I121" s="54"/>
      <c r="J121" s="54"/>
      <c r="K121" s="54"/>
      <c r="L121" s="54"/>
      <c r="M121" s="54"/>
      <c r="N121" s="54"/>
      <c r="O121" s="54"/>
      <c r="P121" s="54"/>
      <c r="Q121" s="54"/>
      <c r="R121" s="54">
        <f>C121+D121</f>
        <v>3</v>
      </c>
      <c r="S121" s="54"/>
      <c r="T121" s="54"/>
      <c r="U121" s="54"/>
      <c r="V121" s="54"/>
      <c r="W121" s="54"/>
      <c r="X121" s="54"/>
      <c r="Y121" s="54"/>
      <c r="Z121" s="54"/>
      <c r="AA121" s="54"/>
      <c r="AB121" s="54"/>
      <c r="AC121" s="54"/>
      <c r="AD121" s="54"/>
      <c r="AE121" s="54"/>
      <c r="AF121" s="54"/>
      <c r="AG121" s="54"/>
      <c r="AH121" s="54"/>
      <c r="AI121" s="54"/>
      <c r="AJ121" s="54">
        <f>C121+B121</f>
        <v>0</v>
      </c>
      <c r="AK121" s="54"/>
      <c r="AL121" s="54"/>
    </row>
    <row r="122" customHeight="1" spans="1:38">
      <c r="A122" s="55">
        <f t="shared" si="2"/>
        <v>118</v>
      </c>
      <c r="B122" s="54">
        <f>测试题!D124</f>
        <v>0</v>
      </c>
      <c r="C122" s="54">
        <f>测试题!E124</f>
        <v>0</v>
      </c>
      <c r="D122" s="54">
        <f>测试题!F124</f>
        <v>3</v>
      </c>
      <c r="E122" s="54"/>
      <c r="F122" s="54"/>
      <c r="G122" s="54"/>
      <c r="H122" s="54"/>
      <c r="I122" s="54"/>
      <c r="J122" s="54"/>
      <c r="K122" s="54"/>
      <c r="L122" s="54">
        <f>C122+B122</f>
        <v>0</v>
      </c>
      <c r="M122" s="54"/>
      <c r="N122" s="54"/>
      <c r="O122" s="54"/>
      <c r="P122" s="54"/>
      <c r="Q122" s="54">
        <f>C122+D122</f>
        <v>3</v>
      </c>
      <c r="R122" s="54"/>
      <c r="S122" s="54"/>
      <c r="T122" s="54"/>
      <c r="U122" s="54"/>
      <c r="V122" s="54"/>
      <c r="W122" s="54"/>
      <c r="X122" s="54"/>
      <c r="Y122" s="54"/>
      <c r="Z122" s="54"/>
      <c r="AA122" s="54"/>
      <c r="AB122" s="54"/>
      <c r="AC122" s="54"/>
      <c r="AD122" s="54"/>
      <c r="AE122" s="54"/>
      <c r="AF122" s="54"/>
      <c r="AG122" s="54"/>
      <c r="AH122" s="54">
        <f>C122+D122</f>
        <v>3</v>
      </c>
      <c r="AI122" s="54"/>
      <c r="AJ122" s="54"/>
      <c r="AK122" s="54"/>
      <c r="AL122" s="54"/>
    </row>
    <row r="123" customHeight="1" spans="1:38">
      <c r="A123" s="55">
        <f t="shared" si="2"/>
        <v>119</v>
      </c>
      <c r="B123" s="54">
        <f>测试题!D125</f>
        <v>0</v>
      </c>
      <c r="C123" s="54">
        <f>测试题!E125</f>
        <v>0</v>
      </c>
      <c r="D123" s="54">
        <f>测试题!F125</f>
        <v>2</v>
      </c>
      <c r="E123" s="54"/>
      <c r="F123" s="54"/>
      <c r="G123" s="54"/>
      <c r="H123" s="54"/>
      <c r="I123" s="54"/>
      <c r="J123" s="54">
        <f>C123+D123</f>
        <v>2</v>
      </c>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f>C123+D123</f>
        <v>2</v>
      </c>
      <c r="AH123" s="54"/>
      <c r="AI123" s="54"/>
      <c r="AJ123" s="54"/>
      <c r="AK123" s="54"/>
      <c r="AL123" s="54"/>
    </row>
    <row r="124" customHeight="1" spans="1:38">
      <c r="A124" s="55">
        <f t="shared" si="2"/>
        <v>120</v>
      </c>
      <c r="B124" s="54">
        <f>测试题!D126</f>
        <v>0</v>
      </c>
      <c r="C124" s="54">
        <f>测试题!E126</f>
        <v>0</v>
      </c>
      <c r="D124" s="54">
        <f>测试题!F126</f>
        <v>2</v>
      </c>
      <c r="E124" s="54"/>
      <c r="F124" s="54"/>
      <c r="G124" s="54"/>
      <c r="H124" s="54"/>
      <c r="I124" s="54"/>
      <c r="J124" s="54"/>
      <c r="K124" s="54"/>
      <c r="L124" s="54"/>
      <c r="M124" s="54"/>
      <c r="N124" s="54"/>
      <c r="O124" s="54"/>
      <c r="P124" s="54"/>
      <c r="Q124" s="54"/>
      <c r="R124" s="54"/>
      <c r="S124" s="54"/>
      <c r="T124" s="54"/>
      <c r="U124" s="54"/>
      <c r="V124" s="54"/>
      <c r="W124" s="54"/>
      <c r="X124" s="54"/>
      <c r="Y124" s="54"/>
      <c r="Z124" s="54"/>
      <c r="AA124" s="54">
        <f>C124+B124</f>
        <v>0</v>
      </c>
      <c r="AB124" s="54"/>
      <c r="AC124" s="54"/>
      <c r="AD124" s="54"/>
      <c r="AE124" s="54"/>
      <c r="AF124" s="54"/>
      <c r="AG124" s="54"/>
      <c r="AH124" s="54"/>
      <c r="AI124" s="54">
        <f>C124+D124</f>
        <v>2</v>
      </c>
      <c r="AJ124" s="54"/>
      <c r="AK124" s="54"/>
      <c r="AL124" s="54"/>
    </row>
    <row r="125" customHeight="1" spans="1:38">
      <c r="A125" s="55">
        <f t="shared" si="2"/>
        <v>121</v>
      </c>
      <c r="B125" s="54">
        <f>测试题!D127</f>
        <v>2</v>
      </c>
      <c r="C125" s="54">
        <f>测试题!E127</f>
        <v>0</v>
      </c>
      <c r="D125" s="54">
        <f>测试题!F127</f>
        <v>0</v>
      </c>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f>C125+D125</f>
        <v>0</v>
      </c>
      <c r="AF125" s="54"/>
      <c r="AG125" s="54"/>
      <c r="AH125" s="54"/>
      <c r="AI125" s="54"/>
      <c r="AJ125" s="54">
        <f>C125+B125</f>
        <v>2</v>
      </c>
      <c r="AK125" s="54"/>
      <c r="AL125" s="54"/>
    </row>
    <row r="126" customHeight="1" spans="1:38">
      <c r="A126" s="55">
        <f t="shared" si="2"/>
        <v>122</v>
      </c>
      <c r="B126" s="54">
        <f>测试题!D128</f>
        <v>2</v>
      </c>
      <c r="C126" s="54">
        <f>测试题!E128</f>
        <v>0</v>
      </c>
      <c r="D126" s="54">
        <f>测试题!F128</f>
        <v>0</v>
      </c>
      <c r="E126" s="54"/>
      <c r="F126" s="54"/>
      <c r="G126" s="54">
        <f>C126+B126</f>
        <v>2</v>
      </c>
      <c r="H126" s="54"/>
      <c r="I126" s="54"/>
      <c r="J126" s="54"/>
      <c r="K126" s="54"/>
      <c r="L126" s="54"/>
      <c r="M126" s="54"/>
      <c r="N126" s="54"/>
      <c r="O126" s="54"/>
      <c r="P126" s="54"/>
      <c r="Q126" s="54"/>
      <c r="R126" s="54">
        <f>C126+D126</f>
        <v>0</v>
      </c>
      <c r="S126" s="54"/>
      <c r="T126" s="54"/>
      <c r="U126" s="54"/>
      <c r="V126" s="54"/>
      <c r="W126" s="54"/>
      <c r="X126" s="54"/>
      <c r="Y126" s="54"/>
      <c r="Z126" s="54"/>
      <c r="AA126" s="54"/>
      <c r="AB126" s="54"/>
      <c r="AC126" s="54"/>
      <c r="AD126" s="54"/>
      <c r="AE126" s="54"/>
      <c r="AF126" s="54"/>
      <c r="AG126" s="54">
        <f>C126+D126</f>
        <v>0</v>
      </c>
      <c r="AH126" s="54"/>
      <c r="AI126" s="54"/>
      <c r="AJ126" s="54"/>
      <c r="AK126" s="54"/>
      <c r="AL126" s="54"/>
    </row>
    <row r="127" customHeight="1" spans="1:38">
      <c r="A127" s="55">
        <f t="shared" si="2"/>
        <v>123</v>
      </c>
      <c r="B127" s="54">
        <f>测试题!D129</f>
        <v>0</v>
      </c>
      <c r="C127" s="54">
        <f>测试题!E129</f>
        <v>0</v>
      </c>
      <c r="D127" s="54">
        <f>测试题!F129</f>
        <v>3</v>
      </c>
      <c r="E127" s="54"/>
      <c r="F127" s="54"/>
      <c r="G127" s="54"/>
      <c r="H127" s="54"/>
      <c r="I127" s="54"/>
      <c r="J127" s="54"/>
      <c r="K127" s="54"/>
      <c r="L127" s="54"/>
      <c r="M127" s="54"/>
      <c r="N127" s="54"/>
      <c r="O127" s="54"/>
      <c r="P127" s="54"/>
      <c r="Q127" s="54">
        <f>C127+B127</f>
        <v>0</v>
      </c>
      <c r="R127" s="54"/>
      <c r="S127" s="54"/>
      <c r="T127" s="54"/>
      <c r="U127" s="54"/>
      <c r="V127" s="54"/>
      <c r="W127" s="54"/>
      <c r="X127" s="54"/>
      <c r="Y127" s="54">
        <f>C127+B127</f>
        <v>0</v>
      </c>
      <c r="Z127" s="54"/>
      <c r="AA127" s="54"/>
      <c r="AB127" s="54"/>
      <c r="AC127" s="54"/>
      <c r="AD127" s="54"/>
      <c r="AE127" s="54"/>
      <c r="AF127" s="54"/>
      <c r="AG127" s="54"/>
      <c r="AH127" s="54"/>
      <c r="AI127" s="54"/>
      <c r="AJ127" s="54"/>
      <c r="AK127" s="54"/>
      <c r="AL127" s="54"/>
    </row>
    <row r="128" customHeight="1" spans="1:38">
      <c r="A128" s="55">
        <f t="shared" si="2"/>
        <v>124</v>
      </c>
      <c r="B128" s="54">
        <f>测试题!D130</f>
        <v>0</v>
      </c>
      <c r="C128" s="54">
        <f>测试题!E130</f>
        <v>0</v>
      </c>
      <c r="D128" s="54">
        <f>测试题!F130</f>
        <v>3</v>
      </c>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f>C128+B128</f>
        <v>0</v>
      </c>
      <c r="AG128" s="54"/>
      <c r="AH128" s="54"/>
      <c r="AI128" s="54">
        <f>C128+D128</f>
        <v>3</v>
      </c>
      <c r="AJ128" s="54"/>
      <c r="AK128" s="54"/>
      <c r="AL128" s="54"/>
    </row>
    <row r="129" customHeight="1" spans="1:38">
      <c r="A129" s="55">
        <f t="shared" si="2"/>
        <v>125</v>
      </c>
      <c r="B129" s="54">
        <f>测试题!D131</f>
        <v>0</v>
      </c>
      <c r="C129" s="54">
        <f>测试题!E131</f>
        <v>0</v>
      </c>
      <c r="D129" s="54">
        <f>测试题!F131</f>
        <v>3</v>
      </c>
      <c r="E129" s="54">
        <f>C129+D129</f>
        <v>3</v>
      </c>
      <c r="F129" s="54"/>
      <c r="G129" s="54"/>
      <c r="H129" s="54"/>
      <c r="I129" s="54"/>
      <c r="J129" s="54"/>
      <c r="K129" s="54"/>
      <c r="L129" s="54"/>
      <c r="M129" s="54"/>
      <c r="N129" s="54"/>
      <c r="O129" s="54">
        <f>C129+B129</f>
        <v>0</v>
      </c>
      <c r="P129" s="54"/>
      <c r="Q129" s="54"/>
      <c r="R129" s="54"/>
      <c r="S129" s="54"/>
      <c r="T129" s="54"/>
      <c r="U129" s="54"/>
      <c r="V129" s="54">
        <f>C129+D129</f>
        <v>3</v>
      </c>
      <c r="W129" s="54"/>
      <c r="X129" s="54"/>
      <c r="Y129" s="54"/>
      <c r="Z129" s="54"/>
      <c r="AA129" s="54"/>
      <c r="AB129" s="54"/>
      <c r="AC129" s="54"/>
      <c r="AD129" s="54"/>
      <c r="AE129" s="54"/>
      <c r="AF129" s="54"/>
      <c r="AG129" s="54"/>
      <c r="AH129" s="54"/>
      <c r="AI129" s="54"/>
      <c r="AJ129" s="54"/>
      <c r="AK129" s="54"/>
      <c r="AL129" s="54"/>
    </row>
    <row r="130" customHeight="1" spans="1:38">
      <c r="A130" s="55">
        <f t="shared" si="2"/>
        <v>126</v>
      </c>
      <c r="B130" s="54">
        <f>测试题!D132</f>
        <v>0</v>
      </c>
      <c r="C130" s="54">
        <f>测试题!E132</f>
        <v>0</v>
      </c>
      <c r="D130" s="54">
        <f>测试题!F132</f>
        <v>3</v>
      </c>
      <c r="E130" s="54"/>
      <c r="F130" s="54"/>
      <c r="G130" s="54"/>
      <c r="H130" s="54"/>
      <c r="I130" s="54">
        <f>C130+B130</f>
        <v>0</v>
      </c>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f>C130+B130</f>
        <v>0</v>
      </c>
      <c r="AH130" s="54">
        <f>C130+B130</f>
        <v>0</v>
      </c>
      <c r="AI130" s="54"/>
      <c r="AJ130" s="54"/>
      <c r="AK130" s="54"/>
      <c r="AL130" s="54"/>
    </row>
    <row r="131" customHeight="1" spans="1:38">
      <c r="A131" s="55">
        <f t="shared" si="2"/>
        <v>127</v>
      </c>
      <c r="B131" s="54">
        <f>测试题!D133</f>
        <v>2</v>
      </c>
      <c r="C131" s="54">
        <f>测试题!E133</f>
        <v>0</v>
      </c>
      <c r="D131" s="54">
        <f>测试题!F133</f>
        <v>0</v>
      </c>
      <c r="E131" s="54"/>
      <c r="F131" s="54"/>
      <c r="G131" s="54">
        <f>C131+B131</f>
        <v>2</v>
      </c>
      <c r="H131" s="54"/>
      <c r="I131" s="54"/>
      <c r="J131" s="54">
        <f>C131+D131</f>
        <v>0</v>
      </c>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f>C131+D131</f>
        <v>0</v>
      </c>
      <c r="AH131" s="54"/>
      <c r="AI131" s="54"/>
      <c r="AJ131" s="54"/>
      <c r="AK131" s="54"/>
      <c r="AL131" s="54"/>
    </row>
    <row r="132" customHeight="1" spans="1:38">
      <c r="A132" s="55">
        <f t="shared" si="2"/>
        <v>128</v>
      </c>
      <c r="B132" s="54">
        <f>测试题!D134</f>
        <v>3</v>
      </c>
      <c r="C132" s="54">
        <f>测试题!E134</f>
        <v>0</v>
      </c>
      <c r="D132" s="54">
        <f>测试题!F134</f>
        <v>0</v>
      </c>
      <c r="E132" s="54"/>
      <c r="F132" s="54"/>
      <c r="G132" s="54"/>
      <c r="H132" s="54"/>
      <c r="I132" s="54"/>
      <c r="J132" s="54">
        <f>C132+B132</f>
        <v>3</v>
      </c>
      <c r="K132" s="54"/>
      <c r="L132" s="54"/>
      <c r="M132" s="54"/>
      <c r="N132" s="54"/>
      <c r="O132" s="54"/>
      <c r="P132" s="54"/>
      <c r="Q132" s="54"/>
      <c r="R132" s="54"/>
      <c r="S132" s="54"/>
      <c r="T132" s="54"/>
      <c r="U132" s="54"/>
      <c r="V132" s="54"/>
      <c r="W132" s="54"/>
      <c r="X132" s="54"/>
      <c r="Y132" s="54"/>
      <c r="Z132" s="54"/>
      <c r="AA132" s="54"/>
      <c r="AB132" s="54"/>
      <c r="AC132" s="54">
        <f>C132+B132</f>
        <v>3</v>
      </c>
      <c r="AD132" s="54"/>
      <c r="AE132" s="54"/>
      <c r="AF132" s="54"/>
      <c r="AG132" s="54"/>
      <c r="AH132" s="54"/>
      <c r="AI132" s="54"/>
      <c r="AJ132" s="54">
        <f>C132+D132</f>
        <v>0</v>
      </c>
      <c r="AK132" s="54"/>
      <c r="AL132" s="54"/>
    </row>
    <row r="133" customHeight="1" spans="1:38">
      <c r="A133" s="55">
        <f t="shared" si="2"/>
        <v>129</v>
      </c>
      <c r="B133" s="54">
        <f>测试题!D135</f>
        <v>0</v>
      </c>
      <c r="C133" s="54">
        <f>测试题!E135</f>
        <v>0</v>
      </c>
      <c r="D133" s="54">
        <f>测试题!F135</f>
        <v>3</v>
      </c>
      <c r="E133" s="54"/>
      <c r="F133" s="54"/>
      <c r="G133" s="54"/>
      <c r="H133" s="54"/>
      <c r="I133" s="54"/>
      <c r="J133" s="54"/>
      <c r="K133" s="54"/>
      <c r="L133" s="54"/>
      <c r="M133" s="54"/>
      <c r="N133" s="54"/>
      <c r="O133" s="54"/>
      <c r="P133" s="54"/>
      <c r="Q133" s="54"/>
      <c r="R133" s="54"/>
      <c r="S133" s="54">
        <f>C133+B133</f>
        <v>0</v>
      </c>
      <c r="T133" s="54">
        <f>C133+B133</f>
        <v>0</v>
      </c>
      <c r="U133" s="54"/>
      <c r="V133" s="54"/>
      <c r="W133" s="54"/>
      <c r="X133" s="54"/>
      <c r="Y133" s="54"/>
      <c r="Z133" s="54"/>
      <c r="AA133" s="54"/>
      <c r="AB133" s="54"/>
      <c r="AC133" s="54"/>
      <c r="AD133" s="54"/>
      <c r="AE133" s="54"/>
      <c r="AF133" s="54"/>
      <c r="AG133" s="54">
        <f>C133+D133</f>
        <v>3</v>
      </c>
      <c r="AH133" s="54"/>
      <c r="AI133" s="54"/>
      <c r="AJ133" s="54"/>
      <c r="AK133" s="54"/>
      <c r="AL133" s="54"/>
    </row>
    <row r="134" customHeight="1" spans="1:38">
      <c r="A134" s="55">
        <f t="shared" si="2"/>
        <v>130</v>
      </c>
      <c r="B134" s="54">
        <f>测试题!D136</f>
        <v>0</v>
      </c>
      <c r="C134" s="54">
        <f>测试题!E136</f>
        <v>0</v>
      </c>
      <c r="D134" s="54">
        <f>测试题!F136</f>
        <v>3</v>
      </c>
      <c r="E134" s="54"/>
      <c r="F134" s="54"/>
      <c r="G134" s="54"/>
      <c r="H134" s="54"/>
      <c r="I134" s="54"/>
      <c r="J134" s="54"/>
      <c r="K134" s="54"/>
      <c r="L134" s="54"/>
      <c r="M134" s="54"/>
      <c r="N134" s="54"/>
      <c r="O134" s="54">
        <f>C134+D134</f>
        <v>3</v>
      </c>
      <c r="P134" s="54"/>
      <c r="Q134" s="54"/>
      <c r="R134" s="54"/>
      <c r="S134" s="54"/>
      <c r="T134" s="54"/>
      <c r="U134" s="54">
        <f>C134+B134</f>
        <v>0</v>
      </c>
      <c r="V134" s="54"/>
      <c r="W134" s="54"/>
      <c r="X134" s="54"/>
      <c r="Y134" s="54"/>
      <c r="Z134" s="54"/>
      <c r="AA134" s="54"/>
      <c r="AB134" s="54"/>
      <c r="AC134" s="54"/>
      <c r="AD134" s="54"/>
      <c r="AE134" s="54"/>
      <c r="AF134" s="54"/>
      <c r="AG134" s="54"/>
      <c r="AH134" s="54"/>
      <c r="AI134" s="54"/>
      <c r="AJ134" s="54"/>
      <c r="AK134" s="54"/>
      <c r="AL134" s="54"/>
    </row>
    <row r="135" customHeight="1" spans="1:38">
      <c r="A135" s="55">
        <f t="shared" ref="A135:A184" si="3">A134+1</f>
        <v>131</v>
      </c>
      <c r="B135" s="54">
        <f>测试题!D137</f>
        <v>0</v>
      </c>
      <c r="C135" s="54">
        <f>测试题!E137</f>
        <v>0</v>
      </c>
      <c r="D135" s="54">
        <f>测试题!F137</f>
        <v>3</v>
      </c>
      <c r="E135" s="54">
        <f>C135+D135</f>
        <v>3</v>
      </c>
      <c r="F135" s="54"/>
      <c r="G135" s="54"/>
      <c r="H135" s="54"/>
      <c r="I135" s="54"/>
      <c r="J135" s="54"/>
      <c r="K135" s="54"/>
      <c r="L135" s="54"/>
      <c r="M135" s="54"/>
      <c r="N135" s="54"/>
      <c r="O135" s="54"/>
      <c r="P135" s="54"/>
      <c r="Q135" s="54"/>
      <c r="R135" s="54"/>
      <c r="S135" s="54"/>
      <c r="T135" s="54"/>
      <c r="U135" s="54"/>
      <c r="V135" s="54"/>
      <c r="W135" s="54">
        <f>C135+B135</f>
        <v>0</v>
      </c>
      <c r="X135" s="54"/>
      <c r="Y135" s="54"/>
      <c r="Z135" s="54"/>
      <c r="AA135" s="54"/>
      <c r="AB135" s="54"/>
      <c r="AC135" s="54">
        <f>C135+B135</f>
        <v>0</v>
      </c>
      <c r="AD135" s="54"/>
      <c r="AE135" s="54"/>
      <c r="AF135" s="54"/>
      <c r="AG135" s="54"/>
      <c r="AH135" s="54"/>
      <c r="AI135" s="54"/>
      <c r="AJ135" s="54">
        <f>C135+D135</f>
        <v>3</v>
      </c>
      <c r="AK135" s="54"/>
      <c r="AL135" s="54"/>
    </row>
    <row r="136" customHeight="1" spans="1:38">
      <c r="A136" s="55">
        <f t="shared" si="3"/>
        <v>132</v>
      </c>
      <c r="B136" s="54">
        <f>测试题!D138</f>
        <v>3</v>
      </c>
      <c r="C136" s="54">
        <f>测试题!E138</f>
        <v>0</v>
      </c>
      <c r="D136" s="54">
        <f>测试题!F138</f>
        <v>0</v>
      </c>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f>C136+B136</f>
        <v>3</v>
      </c>
      <c r="AD136" s="54"/>
      <c r="AE136" s="54"/>
      <c r="AF136" s="54"/>
      <c r="AG136" s="54"/>
      <c r="AH136" s="54"/>
      <c r="AI136" s="54"/>
      <c r="AJ136" s="54">
        <f>C136+D136</f>
        <v>0</v>
      </c>
      <c r="AK136" s="54"/>
      <c r="AL136" s="54"/>
    </row>
    <row r="137" customHeight="1" spans="1:38">
      <c r="A137" s="55">
        <f t="shared" si="3"/>
        <v>133</v>
      </c>
      <c r="B137" s="54">
        <f>测试题!D139</f>
        <v>3</v>
      </c>
      <c r="C137" s="54">
        <f>测试题!E139</f>
        <v>0</v>
      </c>
      <c r="D137" s="54">
        <f>测试题!F139</f>
        <v>0</v>
      </c>
      <c r="E137" s="54"/>
      <c r="F137" s="54">
        <f>C137+D137</f>
        <v>0</v>
      </c>
      <c r="G137" s="54"/>
      <c r="H137" s="54">
        <f>C137+B137</f>
        <v>3</v>
      </c>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f>C137+B137</f>
        <v>3</v>
      </c>
      <c r="AL137" s="54"/>
    </row>
    <row r="138" customHeight="1" spans="1:38">
      <c r="A138" s="55">
        <f t="shared" si="3"/>
        <v>134</v>
      </c>
      <c r="B138" s="54">
        <f>测试题!D140</f>
        <v>2</v>
      </c>
      <c r="C138" s="54">
        <f>测试题!E140</f>
        <v>0</v>
      </c>
      <c r="D138" s="54">
        <f>测试题!F140</f>
        <v>0</v>
      </c>
      <c r="E138" s="54">
        <f>C138+D138</f>
        <v>0</v>
      </c>
      <c r="F138" s="54"/>
      <c r="G138" s="54"/>
      <c r="H138" s="54">
        <f>C138+B138</f>
        <v>2</v>
      </c>
      <c r="I138" s="54"/>
      <c r="J138" s="54"/>
      <c r="K138" s="54"/>
      <c r="L138" s="54"/>
      <c r="M138" s="54"/>
      <c r="N138" s="54">
        <f>C138+B138</f>
        <v>2</v>
      </c>
      <c r="O138" s="54">
        <f>C138+B138</f>
        <v>2</v>
      </c>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row>
    <row r="139" customHeight="1" spans="1:38">
      <c r="A139" s="55">
        <f t="shared" si="3"/>
        <v>135</v>
      </c>
      <c r="B139" s="54">
        <f>测试题!D141</f>
        <v>0</v>
      </c>
      <c r="C139" s="54">
        <f>测试题!E141</f>
        <v>0</v>
      </c>
      <c r="D139" s="54">
        <f>测试题!F141</f>
        <v>2</v>
      </c>
      <c r="E139" s="54"/>
      <c r="F139" s="54"/>
      <c r="G139" s="54"/>
      <c r="H139" s="54"/>
      <c r="I139" s="54"/>
      <c r="J139" s="54"/>
      <c r="K139" s="54"/>
      <c r="L139" s="54"/>
      <c r="M139" s="54"/>
      <c r="N139" s="54"/>
      <c r="O139" s="54"/>
      <c r="P139" s="54"/>
      <c r="Q139" s="54"/>
      <c r="R139" s="54"/>
      <c r="S139" s="54"/>
      <c r="T139" s="54"/>
      <c r="U139" s="54"/>
      <c r="V139" s="54"/>
      <c r="W139" s="54"/>
      <c r="X139" s="54"/>
      <c r="Y139" s="54"/>
      <c r="Z139" s="54"/>
      <c r="AA139" s="54">
        <f>C139+B139</f>
        <v>0</v>
      </c>
      <c r="AB139" s="54"/>
      <c r="AC139" s="54"/>
      <c r="AD139" s="54">
        <f>C139+D139</f>
        <v>2</v>
      </c>
      <c r="AE139" s="54"/>
      <c r="AF139" s="54"/>
      <c r="AG139" s="54"/>
      <c r="AH139" s="54"/>
      <c r="AI139" s="54"/>
      <c r="AJ139" s="54"/>
      <c r="AK139" s="54"/>
      <c r="AL139" s="54"/>
    </row>
    <row r="140" customHeight="1" spans="1:38">
      <c r="A140" s="55">
        <f t="shared" si="3"/>
        <v>136</v>
      </c>
      <c r="B140" s="54">
        <f>测试题!D142</f>
        <v>0</v>
      </c>
      <c r="C140" s="54">
        <f>测试题!E142</f>
        <v>0</v>
      </c>
      <c r="D140" s="54">
        <f>测试题!F142</f>
        <v>3</v>
      </c>
      <c r="E140" s="54">
        <f>C140+D140</f>
        <v>3</v>
      </c>
      <c r="F140" s="54"/>
      <c r="G140" s="54"/>
      <c r="H140" s="54"/>
      <c r="I140" s="54"/>
      <c r="J140" s="54"/>
      <c r="K140" s="54"/>
      <c r="L140" s="54"/>
      <c r="M140" s="54"/>
      <c r="N140" s="54"/>
      <c r="O140" s="54"/>
      <c r="P140" s="54"/>
      <c r="Q140" s="54"/>
      <c r="R140" s="54"/>
      <c r="S140" s="54"/>
      <c r="T140" s="54"/>
      <c r="U140" s="54"/>
      <c r="V140" s="54"/>
      <c r="W140" s="54"/>
      <c r="X140" s="54">
        <f>C140+B140</f>
        <v>0</v>
      </c>
      <c r="Y140" s="54"/>
      <c r="Z140" s="54"/>
      <c r="AA140" s="54"/>
      <c r="AB140" s="54"/>
      <c r="AC140" s="54"/>
      <c r="AD140" s="54"/>
      <c r="AE140" s="54"/>
      <c r="AF140" s="54"/>
      <c r="AG140" s="54"/>
      <c r="AH140" s="54">
        <f>C140+D140</f>
        <v>3</v>
      </c>
      <c r="AI140" s="54"/>
      <c r="AJ140" s="54"/>
      <c r="AK140" s="54"/>
      <c r="AL140" s="54"/>
    </row>
    <row r="141" customHeight="1" spans="1:38">
      <c r="A141" s="55">
        <f t="shared" si="3"/>
        <v>137</v>
      </c>
      <c r="B141" s="54">
        <f>测试题!D143</f>
        <v>2</v>
      </c>
      <c r="C141" s="54">
        <f>测试题!E143</f>
        <v>0</v>
      </c>
      <c r="D141" s="54">
        <f>测试题!F143</f>
        <v>0</v>
      </c>
      <c r="E141" s="54"/>
      <c r="F141" s="54"/>
      <c r="G141" s="54"/>
      <c r="H141" s="54"/>
      <c r="I141" s="54"/>
      <c r="J141" s="54"/>
      <c r="K141" s="54"/>
      <c r="L141" s="54"/>
      <c r="M141" s="54"/>
      <c r="N141" s="54"/>
      <c r="O141" s="54"/>
      <c r="P141" s="54"/>
      <c r="Q141" s="54">
        <f>C141+D141</f>
        <v>0</v>
      </c>
      <c r="R141" s="54"/>
      <c r="S141" s="54"/>
      <c r="T141" s="54">
        <f>C141+B141</f>
        <v>2</v>
      </c>
      <c r="U141" s="54"/>
      <c r="V141" s="54"/>
      <c r="W141" s="54"/>
      <c r="X141" s="54"/>
      <c r="Y141" s="54">
        <f>C141+B141</f>
        <v>2</v>
      </c>
      <c r="Z141" s="54">
        <f>C141+D141</f>
        <v>0</v>
      </c>
      <c r="AA141" s="54"/>
      <c r="AB141" s="54"/>
      <c r="AC141" s="54"/>
      <c r="AD141" s="54">
        <f>C141+D141</f>
        <v>0</v>
      </c>
      <c r="AE141" s="54"/>
      <c r="AF141" s="54"/>
      <c r="AG141" s="54"/>
      <c r="AH141" s="54"/>
      <c r="AI141" s="54"/>
      <c r="AJ141" s="54"/>
      <c r="AK141" s="54"/>
      <c r="AL141" s="54">
        <f>C141+B141</f>
        <v>2</v>
      </c>
    </row>
    <row r="142" customHeight="1" spans="1:38">
      <c r="A142" s="55">
        <f t="shared" si="3"/>
        <v>138</v>
      </c>
      <c r="B142" s="54">
        <f>测试题!D144</f>
        <v>0</v>
      </c>
      <c r="C142" s="54">
        <f>测试题!E144</f>
        <v>0</v>
      </c>
      <c r="D142" s="54">
        <f>测试题!F144</f>
        <v>2</v>
      </c>
      <c r="E142" s="54"/>
      <c r="F142" s="54"/>
      <c r="G142" s="54"/>
      <c r="H142" s="54"/>
      <c r="I142" s="54"/>
      <c r="J142" s="54"/>
      <c r="K142" s="54"/>
      <c r="L142" s="54"/>
      <c r="M142" s="54">
        <f>C142+B142</f>
        <v>0</v>
      </c>
      <c r="N142" s="54"/>
      <c r="O142" s="54"/>
      <c r="P142" s="54"/>
      <c r="Q142" s="54"/>
      <c r="R142" s="54"/>
      <c r="S142" s="54"/>
      <c r="T142" s="54"/>
      <c r="U142" s="54"/>
      <c r="V142" s="54">
        <f>C142+D142</f>
        <v>2</v>
      </c>
      <c r="W142" s="54"/>
      <c r="X142" s="54"/>
      <c r="Y142" s="54"/>
      <c r="Z142" s="54"/>
      <c r="AA142" s="54"/>
      <c r="AB142" s="54"/>
      <c r="AC142" s="54"/>
      <c r="AD142" s="54"/>
      <c r="AE142" s="54"/>
      <c r="AF142" s="54"/>
      <c r="AG142" s="54"/>
      <c r="AH142" s="54">
        <f>C142+D142</f>
        <v>2</v>
      </c>
      <c r="AI142" s="54"/>
      <c r="AJ142" s="54"/>
      <c r="AK142" s="54">
        <f>C142+D142</f>
        <v>2</v>
      </c>
      <c r="AL142" s="54"/>
    </row>
    <row r="143" customHeight="1" spans="1:38">
      <c r="A143" s="55">
        <f t="shared" si="3"/>
        <v>139</v>
      </c>
      <c r="B143" s="54">
        <f>测试题!D145</f>
        <v>0</v>
      </c>
      <c r="C143" s="54">
        <f>测试题!E145</f>
        <v>1</v>
      </c>
      <c r="D143" s="54">
        <f>测试题!F145</f>
        <v>0</v>
      </c>
      <c r="E143" s="54"/>
      <c r="F143" s="54"/>
      <c r="G143" s="54"/>
      <c r="H143" s="54"/>
      <c r="I143" s="54"/>
      <c r="J143" s="54"/>
      <c r="K143" s="54"/>
      <c r="L143" s="54">
        <f>C143+D143</f>
        <v>1</v>
      </c>
      <c r="M143" s="54">
        <f>C143+B143</f>
        <v>1</v>
      </c>
      <c r="N143" s="54">
        <f>C143+D143</f>
        <v>1</v>
      </c>
      <c r="O143" s="54"/>
      <c r="P143" s="54"/>
      <c r="Q143" s="54"/>
      <c r="R143" s="54"/>
      <c r="S143" s="54"/>
      <c r="T143" s="54">
        <f>C143+B143</f>
        <v>1</v>
      </c>
      <c r="U143" s="54"/>
      <c r="V143" s="54"/>
      <c r="W143" s="54">
        <f>C143+D143</f>
        <v>1</v>
      </c>
      <c r="X143" s="54"/>
      <c r="Y143" s="54">
        <f>C143+D143</f>
        <v>1</v>
      </c>
      <c r="Z143" s="56"/>
      <c r="AA143" s="54"/>
      <c r="AB143" s="54"/>
      <c r="AC143" s="54"/>
      <c r="AD143" s="54"/>
      <c r="AE143" s="54"/>
      <c r="AF143" s="54">
        <f>C143+D143</f>
        <v>1</v>
      </c>
      <c r="AG143" s="54"/>
      <c r="AH143" s="54">
        <f>C143+B143</f>
        <v>1</v>
      </c>
      <c r="AI143" s="54"/>
      <c r="AJ143" s="54"/>
      <c r="AK143" s="54"/>
      <c r="AL143" s="54"/>
    </row>
    <row r="144" customHeight="1" spans="1:38">
      <c r="A144" s="55">
        <f t="shared" si="3"/>
        <v>140</v>
      </c>
      <c r="B144" s="54">
        <f>测试题!D146</f>
        <v>2</v>
      </c>
      <c r="C144" s="54">
        <f>测试题!E146</f>
        <v>0</v>
      </c>
      <c r="D144" s="54">
        <f>测试题!F146</f>
        <v>0</v>
      </c>
      <c r="E144" s="54"/>
      <c r="F144" s="54"/>
      <c r="G144" s="54"/>
      <c r="H144" s="54">
        <f>C144+B144</f>
        <v>2</v>
      </c>
      <c r="I144" s="54"/>
      <c r="J144" s="54"/>
      <c r="K144" s="54"/>
      <c r="L144" s="54"/>
      <c r="M144" s="54"/>
      <c r="N144" s="54"/>
      <c r="O144" s="54">
        <f>C144+B144</f>
        <v>2</v>
      </c>
      <c r="P144" s="54"/>
      <c r="Q144" s="54"/>
      <c r="R144" s="54"/>
      <c r="S144" s="54"/>
      <c r="T144" s="54"/>
      <c r="U144" s="54">
        <f>C144+D144</f>
        <v>0</v>
      </c>
      <c r="V144" s="54"/>
      <c r="W144" s="54"/>
      <c r="X144" s="54"/>
      <c r="Y144" s="54"/>
      <c r="Z144" s="54"/>
      <c r="AA144" s="54"/>
      <c r="AB144" s="54">
        <f>C144+D144</f>
        <v>0</v>
      </c>
      <c r="AC144" s="54">
        <f>C144+D144</f>
        <v>0</v>
      </c>
      <c r="AD144" s="54">
        <f>C144+D144</f>
        <v>0</v>
      </c>
      <c r="AE144" s="54"/>
      <c r="AF144" s="54"/>
      <c r="AG144" s="54"/>
      <c r="AH144" s="54">
        <f>C144+B144</f>
        <v>2</v>
      </c>
      <c r="AI144" s="54"/>
      <c r="AJ144" s="54"/>
      <c r="AK144" s="54"/>
      <c r="AL144" s="54"/>
    </row>
    <row r="145" customHeight="1" spans="1:38">
      <c r="A145" s="55">
        <f t="shared" si="3"/>
        <v>141</v>
      </c>
      <c r="B145" s="54">
        <f>测试题!D147</f>
        <v>0</v>
      </c>
      <c r="C145" s="54">
        <f>测试题!E147</f>
        <v>0</v>
      </c>
      <c r="D145" s="54">
        <f>测试题!F147</f>
        <v>2</v>
      </c>
      <c r="E145" s="54"/>
      <c r="F145" s="54"/>
      <c r="G145" s="54"/>
      <c r="H145" s="54"/>
      <c r="I145" s="54"/>
      <c r="J145" s="54"/>
      <c r="K145" s="54"/>
      <c r="L145" s="54"/>
      <c r="M145" s="54"/>
      <c r="N145" s="54"/>
      <c r="O145" s="54"/>
      <c r="P145" s="54"/>
      <c r="Q145" s="54">
        <f>C145+B145</f>
        <v>0</v>
      </c>
      <c r="R145" s="54"/>
      <c r="S145" s="54"/>
      <c r="T145" s="54">
        <f>C145+D145</f>
        <v>2</v>
      </c>
      <c r="U145" s="54"/>
      <c r="V145" s="54"/>
      <c r="W145" s="54"/>
      <c r="X145" s="54"/>
      <c r="Y145" s="54"/>
      <c r="Z145" s="54">
        <f>C145+B145</f>
        <v>0</v>
      </c>
      <c r="AA145" s="54"/>
      <c r="AB145" s="54"/>
      <c r="AC145" s="54"/>
      <c r="AD145" s="54">
        <f>C145+B145</f>
        <v>0</v>
      </c>
      <c r="AE145" s="54"/>
      <c r="AF145" s="54"/>
      <c r="AG145" s="54"/>
      <c r="AH145" s="54"/>
      <c r="AI145" s="54"/>
      <c r="AJ145" s="54"/>
      <c r="AK145" s="54"/>
      <c r="AL145" s="54"/>
    </row>
    <row r="146" customHeight="1" spans="1:38">
      <c r="A146" s="55">
        <f t="shared" si="3"/>
        <v>142</v>
      </c>
      <c r="B146" s="54">
        <f>测试题!D148</f>
        <v>0</v>
      </c>
      <c r="C146" s="54">
        <f>测试题!E148</f>
        <v>0</v>
      </c>
      <c r="D146" s="54">
        <f>测试题!F148</f>
        <v>2</v>
      </c>
      <c r="E146" s="54">
        <f>C144+D144</f>
        <v>0</v>
      </c>
      <c r="F146" s="54"/>
      <c r="G146" s="54"/>
      <c r="H146" s="54"/>
      <c r="I146" s="54"/>
      <c r="J146" s="54"/>
      <c r="K146" s="54"/>
      <c r="L146" s="54"/>
      <c r="M146" s="54"/>
      <c r="N146" s="54"/>
      <c r="O146" s="54"/>
      <c r="P146" s="54"/>
      <c r="Q146" s="54"/>
      <c r="R146" s="54"/>
      <c r="S146" s="54"/>
      <c r="T146" s="54"/>
      <c r="U146" s="54">
        <f>C144+D144</f>
        <v>0</v>
      </c>
      <c r="V146" s="54"/>
      <c r="W146" s="54"/>
      <c r="X146" s="54"/>
      <c r="Y146" s="54"/>
      <c r="Z146" s="54"/>
      <c r="AA146" s="54"/>
      <c r="AB146" s="54"/>
      <c r="AC146" s="54"/>
      <c r="AD146" s="54"/>
      <c r="AE146" s="54"/>
      <c r="AF146" s="54"/>
      <c r="AG146" s="54"/>
      <c r="AH146" s="54"/>
      <c r="AI146" s="54"/>
      <c r="AJ146" s="54"/>
      <c r="AK146" s="54"/>
      <c r="AL146" s="54"/>
    </row>
    <row r="147" customHeight="1" spans="1:38">
      <c r="A147" s="55">
        <f t="shared" si="3"/>
        <v>143</v>
      </c>
      <c r="B147" s="54">
        <f>测试题!D149</f>
        <v>0</v>
      </c>
      <c r="C147" s="54">
        <f>测试题!E149</f>
        <v>0</v>
      </c>
      <c r="D147" s="54">
        <f>测试题!F149</f>
        <v>2</v>
      </c>
      <c r="E147" s="54">
        <f>C147+D147</f>
        <v>2</v>
      </c>
      <c r="F147" s="54"/>
      <c r="G147" s="54"/>
      <c r="H147" s="54"/>
      <c r="I147" s="54"/>
      <c r="J147" s="54"/>
      <c r="K147" s="54"/>
      <c r="L147" s="54"/>
      <c r="M147" s="54">
        <f>C147+D147</f>
        <v>2</v>
      </c>
      <c r="N147" s="54"/>
      <c r="O147" s="54"/>
      <c r="P147" s="54"/>
      <c r="Q147" s="54"/>
      <c r="R147" s="54">
        <f>C147+D147</f>
        <v>2</v>
      </c>
      <c r="S147" s="54"/>
      <c r="T147" s="54"/>
      <c r="U147" s="54"/>
      <c r="V147" s="54"/>
      <c r="W147" s="54"/>
      <c r="X147" s="54"/>
      <c r="Y147" s="54"/>
      <c r="Z147" s="54"/>
      <c r="AA147" s="54"/>
      <c r="AB147" s="54"/>
      <c r="AC147" s="54"/>
      <c r="AD147" s="54"/>
      <c r="AE147" s="54"/>
      <c r="AF147" s="54"/>
      <c r="AG147" s="54">
        <f>C147+D147</f>
        <v>2</v>
      </c>
      <c r="AH147" s="54"/>
      <c r="AI147" s="54"/>
      <c r="AJ147" s="54"/>
      <c r="AK147" s="54">
        <f>C147+D147</f>
        <v>2</v>
      </c>
      <c r="AL147" s="54"/>
    </row>
    <row r="148" customHeight="1" spans="1:38">
      <c r="A148" s="55">
        <f t="shared" si="3"/>
        <v>144</v>
      </c>
      <c r="B148" s="54">
        <f>测试题!D150</f>
        <v>2</v>
      </c>
      <c r="C148" s="54">
        <f>测试题!E150</f>
        <v>0</v>
      </c>
      <c r="D148" s="54">
        <f>测试题!F150</f>
        <v>0</v>
      </c>
      <c r="E148" s="54"/>
      <c r="F148" s="54">
        <f>C148+B148</f>
        <v>2</v>
      </c>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f>C148+D148</f>
        <v>0</v>
      </c>
      <c r="AH148" s="54"/>
      <c r="AI148" s="54"/>
      <c r="AJ148" s="54"/>
      <c r="AK148" s="54"/>
      <c r="AL148" s="54"/>
    </row>
    <row r="149" customHeight="1" spans="1:38">
      <c r="A149" s="55">
        <f t="shared" si="3"/>
        <v>145</v>
      </c>
      <c r="B149" s="54">
        <f>测试题!D151</f>
        <v>0</v>
      </c>
      <c r="C149" s="54">
        <f>测试题!E151</f>
        <v>0</v>
      </c>
      <c r="D149" s="54">
        <f>测试题!F151</f>
        <v>2</v>
      </c>
      <c r="E149" s="54"/>
      <c r="F149" s="54"/>
      <c r="G149" s="54"/>
      <c r="H149" s="54"/>
      <c r="I149" s="54"/>
      <c r="J149" s="54"/>
      <c r="K149" s="54"/>
      <c r="L149" s="54">
        <f>C149+B149</f>
        <v>0</v>
      </c>
      <c r="M149" s="54">
        <f>C149+B149</f>
        <v>0</v>
      </c>
      <c r="N149" s="54">
        <f>C149+B149</f>
        <v>0</v>
      </c>
      <c r="O149" s="54"/>
      <c r="P149" s="54">
        <f>C149+D149</f>
        <v>2</v>
      </c>
      <c r="Q149" s="54">
        <f>C149+D149</f>
        <v>2</v>
      </c>
      <c r="R149" s="54"/>
      <c r="S149" s="54">
        <f>C149+B149</f>
        <v>0</v>
      </c>
      <c r="T149" s="54">
        <f>C149+B149</f>
        <v>0</v>
      </c>
      <c r="U149" s="54"/>
      <c r="V149" s="54"/>
      <c r="W149" s="54">
        <f>C149+B149</f>
        <v>0</v>
      </c>
      <c r="X149" s="54"/>
      <c r="Y149" s="54">
        <f>C149+B149</f>
        <v>0</v>
      </c>
      <c r="Z149" s="54">
        <f>C149+D149</f>
        <v>2</v>
      </c>
      <c r="AA149" s="54">
        <f>C149+D149</f>
        <v>2</v>
      </c>
      <c r="AB149" s="54"/>
      <c r="AC149" s="54"/>
      <c r="AD149" s="54"/>
      <c r="AE149" s="54"/>
      <c r="AF149" s="54"/>
      <c r="AG149" s="54"/>
      <c r="AH149" s="54"/>
      <c r="AI149" s="54"/>
      <c r="AJ149" s="54"/>
      <c r="AK149" s="54"/>
      <c r="AL149" s="54">
        <f>C149+B149</f>
        <v>0</v>
      </c>
    </row>
    <row r="150" customHeight="1" spans="1:38">
      <c r="A150" s="55">
        <f t="shared" si="3"/>
        <v>146</v>
      </c>
      <c r="B150" s="54">
        <f>测试题!D152</f>
        <v>3</v>
      </c>
      <c r="C150" s="54">
        <f>测试题!E152</f>
        <v>0</v>
      </c>
      <c r="D150" s="54">
        <f>测试题!F152</f>
        <v>0</v>
      </c>
      <c r="E150" s="54"/>
      <c r="F150" s="54"/>
      <c r="G150" s="54"/>
      <c r="H150" s="54"/>
      <c r="I150" s="54"/>
      <c r="J150" s="54"/>
      <c r="K150" s="54"/>
      <c r="L150" s="54"/>
      <c r="M150" s="54"/>
      <c r="N150" s="54"/>
      <c r="O150" s="54"/>
      <c r="P150" s="54"/>
      <c r="Q150" s="54"/>
      <c r="R150" s="54"/>
      <c r="S150" s="54"/>
      <c r="T150" s="54"/>
      <c r="U150" s="54">
        <f>C150+D150</f>
        <v>0</v>
      </c>
      <c r="V150" s="54"/>
      <c r="W150" s="54"/>
      <c r="X150" s="54"/>
      <c r="Y150" s="54"/>
      <c r="Z150" s="54"/>
      <c r="AA150" s="54">
        <f>C150+B150</f>
        <v>3</v>
      </c>
      <c r="AB150" s="54">
        <f>C150+D150</f>
        <v>0</v>
      </c>
      <c r="AC150" s="54"/>
      <c r="AD150" s="54">
        <f>C150+D150</f>
        <v>0</v>
      </c>
      <c r="AE150" s="54"/>
      <c r="AF150" s="54"/>
      <c r="AG150" s="54"/>
      <c r="AH150" s="54"/>
      <c r="AI150" s="54"/>
      <c r="AJ150" s="54"/>
      <c r="AK150" s="54"/>
      <c r="AL150" s="54"/>
    </row>
    <row r="151" customHeight="1" spans="1:38">
      <c r="A151" s="55">
        <f t="shared" si="3"/>
        <v>147</v>
      </c>
      <c r="B151" s="54">
        <f>测试题!D153</f>
        <v>3</v>
      </c>
      <c r="C151" s="54">
        <f>测试题!E153</f>
        <v>0</v>
      </c>
      <c r="D151" s="54">
        <f>测试题!F153</f>
        <v>0</v>
      </c>
      <c r="E151" s="54"/>
      <c r="F151" s="54"/>
      <c r="G151" s="54">
        <f>C151+B151</f>
        <v>3</v>
      </c>
      <c r="H151" s="54"/>
      <c r="I151" s="54">
        <f>C151+D151</f>
        <v>0</v>
      </c>
      <c r="J151" s="54"/>
      <c r="K151" s="54"/>
      <c r="L151" s="54"/>
      <c r="M151" s="54"/>
      <c r="N151" s="54"/>
      <c r="O151" s="54"/>
      <c r="P151" s="54"/>
      <c r="Q151" s="54"/>
      <c r="R151" s="54"/>
      <c r="S151" s="54">
        <f>C151+B151</f>
        <v>3</v>
      </c>
      <c r="T151" s="54"/>
      <c r="U151" s="54"/>
      <c r="V151" s="54"/>
      <c r="W151" s="54">
        <f>C151+B151</f>
        <v>3</v>
      </c>
      <c r="X151" s="54">
        <f>C151+D151</f>
        <v>0</v>
      </c>
      <c r="Y151" s="54"/>
      <c r="Z151" s="54"/>
      <c r="AA151" s="54"/>
      <c r="AB151" s="54"/>
      <c r="AC151" s="54"/>
      <c r="AD151" s="54"/>
      <c r="AE151" s="54"/>
      <c r="AF151" s="54"/>
      <c r="AG151" s="54"/>
      <c r="AH151" s="54"/>
      <c r="AI151" s="54">
        <f>C151+D151</f>
        <v>0</v>
      </c>
      <c r="AJ151" s="54"/>
      <c r="AK151" s="54"/>
      <c r="AL151" s="54"/>
    </row>
    <row r="152" customHeight="1" spans="1:38">
      <c r="A152" s="55">
        <f t="shared" si="3"/>
        <v>148</v>
      </c>
      <c r="B152" s="54">
        <f>测试题!D154</f>
        <v>3</v>
      </c>
      <c r="C152" s="54">
        <f>测试题!E154</f>
        <v>0</v>
      </c>
      <c r="D152" s="54">
        <f>测试题!F154</f>
        <v>0</v>
      </c>
      <c r="E152" s="54"/>
      <c r="F152" s="54"/>
      <c r="G152" s="54"/>
      <c r="H152" s="54"/>
      <c r="I152" s="54"/>
      <c r="J152" s="54"/>
      <c r="K152" s="54"/>
      <c r="L152" s="54"/>
      <c r="M152" s="54"/>
      <c r="N152" s="54"/>
      <c r="O152" s="54"/>
      <c r="P152" s="54"/>
      <c r="Q152" s="54"/>
      <c r="R152" s="54"/>
      <c r="S152" s="54"/>
      <c r="T152" s="54"/>
      <c r="U152" s="54">
        <f>C152+B152</f>
        <v>3</v>
      </c>
      <c r="V152" s="54"/>
      <c r="W152" s="54"/>
      <c r="X152" s="54"/>
      <c r="Y152" s="54"/>
      <c r="Z152" s="54"/>
      <c r="AA152" s="54"/>
      <c r="AB152" s="54"/>
      <c r="AC152" s="54"/>
      <c r="AD152" s="54"/>
      <c r="AE152" s="54"/>
      <c r="AF152" s="54"/>
      <c r="AG152" s="54"/>
      <c r="AH152" s="54">
        <f>C152+B152</f>
        <v>3</v>
      </c>
      <c r="AI152" s="54"/>
      <c r="AJ152" s="54"/>
      <c r="AK152" s="54"/>
      <c r="AL152" s="54"/>
    </row>
    <row r="153" customHeight="1" spans="1:38">
      <c r="A153" s="55">
        <f t="shared" si="3"/>
        <v>149</v>
      </c>
      <c r="B153" s="54">
        <f>测试题!D155</f>
        <v>0</v>
      </c>
      <c r="C153" s="54">
        <f>测试题!E155</f>
        <v>0</v>
      </c>
      <c r="D153" s="54">
        <f>测试题!F155</f>
        <v>2</v>
      </c>
      <c r="E153" s="54">
        <f>C153+B153</f>
        <v>0</v>
      </c>
      <c r="F153" s="54"/>
      <c r="G153" s="54"/>
      <c r="H153" s="54"/>
      <c r="I153" s="54"/>
      <c r="J153" s="54"/>
      <c r="K153" s="54"/>
      <c r="L153" s="54"/>
      <c r="M153" s="54">
        <f>C153+B153</f>
        <v>0</v>
      </c>
      <c r="N153" s="54"/>
      <c r="O153" s="54"/>
      <c r="P153" s="54"/>
      <c r="Q153" s="54"/>
      <c r="R153" s="54"/>
      <c r="S153" s="54"/>
      <c r="T153" s="54"/>
      <c r="U153" s="54"/>
      <c r="V153" s="54"/>
      <c r="W153" s="54"/>
      <c r="X153" s="54"/>
      <c r="Y153" s="54"/>
      <c r="Z153" s="54"/>
      <c r="AA153" s="54"/>
      <c r="AB153" s="54"/>
      <c r="AC153" s="54">
        <f>C153+D153</f>
        <v>2</v>
      </c>
      <c r="AD153" s="54">
        <f>C153+B153</f>
        <v>0</v>
      </c>
      <c r="AE153" s="54"/>
      <c r="AF153" s="54"/>
      <c r="AG153" s="54"/>
      <c r="AH153" s="54"/>
      <c r="AI153" s="54">
        <f>C153+B153</f>
        <v>0</v>
      </c>
      <c r="AJ153" s="54"/>
      <c r="AK153" s="54"/>
      <c r="AL153" s="54"/>
    </row>
    <row r="154" customHeight="1" spans="1:38">
      <c r="A154" s="55">
        <f t="shared" si="3"/>
        <v>150</v>
      </c>
      <c r="B154" s="54">
        <f>测试题!D156</f>
        <v>3</v>
      </c>
      <c r="C154" s="54">
        <f>测试题!E156</f>
        <v>0</v>
      </c>
      <c r="D154" s="54">
        <f>测试题!F156</f>
        <v>0</v>
      </c>
      <c r="E154" s="54"/>
      <c r="F154" s="54"/>
      <c r="G154" s="54"/>
      <c r="H154" s="54"/>
      <c r="I154" s="54">
        <f>C154+B154</f>
        <v>3</v>
      </c>
      <c r="J154" s="54"/>
      <c r="K154" s="54"/>
      <c r="L154" s="54"/>
      <c r="M154" s="54">
        <f>C154+B154</f>
        <v>3</v>
      </c>
      <c r="N154" s="54"/>
      <c r="O154" s="54"/>
      <c r="P154" s="54"/>
      <c r="Q154" s="54"/>
      <c r="R154" s="54"/>
      <c r="S154" s="54"/>
      <c r="T154" s="54"/>
      <c r="U154" s="54"/>
      <c r="V154" s="54"/>
      <c r="W154" s="54">
        <f>C154+D154</f>
        <v>0</v>
      </c>
      <c r="X154" s="54">
        <f>C154+B154</f>
        <v>3</v>
      </c>
      <c r="Y154" s="54"/>
      <c r="Z154" s="54"/>
      <c r="AA154" s="54"/>
      <c r="AB154" s="54"/>
      <c r="AC154" s="54"/>
      <c r="AD154" s="54"/>
      <c r="AE154" s="54"/>
      <c r="AF154" s="54"/>
      <c r="AG154" s="54"/>
      <c r="AH154" s="54"/>
      <c r="AI154" s="54"/>
      <c r="AJ154" s="54"/>
      <c r="AK154" s="54">
        <f>C154+B154</f>
        <v>3</v>
      </c>
      <c r="AL154" s="54"/>
    </row>
    <row r="155" customHeight="1" spans="1:38">
      <c r="A155" s="55">
        <f t="shared" si="3"/>
        <v>151</v>
      </c>
      <c r="B155" s="54">
        <f>测试题!D157</f>
        <v>0</v>
      </c>
      <c r="C155" s="54">
        <f>测试题!E157</f>
        <v>0</v>
      </c>
      <c r="D155" s="54">
        <f>测试题!F157</f>
        <v>2</v>
      </c>
      <c r="E155" s="54"/>
      <c r="F155" s="54"/>
      <c r="G155" s="54"/>
      <c r="H155" s="54"/>
      <c r="I155" s="54">
        <f>C155+B155</f>
        <v>0</v>
      </c>
      <c r="J155" s="54"/>
      <c r="K155" s="54"/>
      <c r="L155" s="54"/>
      <c r="M155" s="54"/>
      <c r="N155" s="54"/>
      <c r="O155" s="54"/>
      <c r="P155" s="54"/>
      <c r="Q155" s="54"/>
      <c r="R155" s="54"/>
      <c r="S155" s="54"/>
      <c r="T155" s="54"/>
      <c r="U155" s="54">
        <f>C155+D155</f>
        <v>2</v>
      </c>
      <c r="V155" s="54"/>
      <c r="W155" s="54"/>
      <c r="X155" s="54"/>
      <c r="Y155" s="54"/>
      <c r="Z155" s="54"/>
      <c r="AA155" s="54"/>
      <c r="AB155" s="54"/>
      <c r="AC155" s="54"/>
      <c r="AD155" s="54"/>
      <c r="AE155" s="54"/>
      <c r="AF155" s="54"/>
      <c r="AG155" s="54"/>
      <c r="AH155" s="54"/>
      <c r="AI155" s="54"/>
      <c r="AJ155" s="54"/>
      <c r="AK155" s="54"/>
      <c r="AL155" s="54"/>
    </row>
    <row r="156" customHeight="1" spans="1:38">
      <c r="A156" s="55">
        <f t="shared" si="3"/>
        <v>152</v>
      </c>
      <c r="B156" s="54">
        <f>测试题!D158</f>
        <v>0</v>
      </c>
      <c r="C156" s="54">
        <f>测试题!E158</f>
        <v>0</v>
      </c>
      <c r="D156" s="54">
        <f>测试题!F158</f>
        <v>3</v>
      </c>
      <c r="E156" s="54"/>
      <c r="F156" s="54"/>
      <c r="G156" s="54">
        <f>C156+B156</f>
        <v>0</v>
      </c>
      <c r="H156" s="54"/>
      <c r="I156" s="54"/>
      <c r="J156" s="54"/>
      <c r="K156" s="54"/>
      <c r="L156" s="54">
        <f>C156+B156</f>
        <v>0</v>
      </c>
      <c r="M156" s="54"/>
      <c r="N156" s="54">
        <f>C156+B156</f>
        <v>0</v>
      </c>
      <c r="O156" s="54"/>
      <c r="P156" s="54"/>
      <c r="Q156" s="54"/>
      <c r="R156" s="54"/>
      <c r="S156" s="54"/>
      <c r="T156" s="54"/>
      <c r="U156" s="54"/>
      <c r="V156" s="54"/>
      <c r="W156" s="54"/>
      <c r="X156" s="54"/>
      <c r="Y156" s="54">
        <f>C156+B156</f>
        <v>0</v>
      </c>
      <c r="Z156" s="54">
        <f>C156+B156</f>
        <v>0</v>
      </c>
      <c r="AA156" s="54">
        <f>C156+B156</f>
        <v>0</v>
      </c>
      <c r="AB156" s="54">
        <f>C156+D156</f>
        <v>3</v>
      </c>
      <c r="AC156" s="54"/>
      <c r="AD156" s="54"/>
      <c r="AE156" s="54"/>
      <c r="AF156" s="54"/>
      <c r="AG156" s="54"/>
      <c r="AH156" s="54"/>
      <c r="AI156" s="54"/>
      <c r="AJ156" s="54">
        <f>C156+D156</f>
        <v>3</v>
      </c>
      <c r="AK156" s="54"/>
      <c r="AL156" s="54"/>
    </row>
    <row r="157" customHeight="1" spans="1:38">
      <c r="A157" s="55">
        <f t="shared" si="3"/>
        <v>153</v>
      </c>
      <c r="B157" s="54">
        <f>测试题!D159</f>
        <v>3</v>
      </c>
      <c r="C157" s="54">
        <f>测试题!E159</f>
        <v>0</v>
      </c>
      <c r="D157" s="54">
        <f>测试题!F159</f>
        <v>0</v>
      </c>
      <c r="E157" s="54"/>
      <c r="F157" s="54">
        <f>C157+D157</f>
        <v>0</v>
      </c>
      <c r="G157" s="54"/>
      <c r="H157" s="54"/>
      <c r="I157" s="54">
        <f>C157+D156</f>
        <v>3</v>
      </c>
      <c r="J157" s="54"/>
      <c r="K157" s="54">
        <f>C157+B157</f>
        <v>3</v>
      </c>
      <c r="L157" s="54"/>
      <c r="M157" s="54"/>
      <c r="N157" s="54"/>
      <c r="O157" s="54"/>
      <c r="P157" s="54"/>
      <c r="Q157" s="54"/>
      <c r="R157" s="54"/>
      <c r="S157" s="54"/>
      <c r="T157" s="54"/>
      <c r="U157" s="54"/>
      <c r="V157" s="54"/>
      <c r="W157" s="54"/>
      <c r="X157" s="54">
        <f>C157+B157</f>
        <v>3</v>
      </c>
      <c r="Y157" s="54"/>
      <c r="Z157" s="54"/>
      <c r="AA157" s="54"/>
      <c r="AB157" s="54"/>
      <c r="AC157" s="54"/>
      <c r="AD157" s="54"/>
      <c r="AE157" s="54"/>
      <c r="AF157" s="54"/>
      <c r="AG157" s="54"/>
      <c r="AH157" s="54">
        <f>C157+D157</f>
        <v>0</v>
      </c>
      <c r="AI157" s="54"/>
      <c r="AJ157" s="54"/>
      <c r="AK157" s="54">
        <f>C157+B157</f>
        <v>3</v>
      </c>
      <c r="AL157" s="54"/>
    </row>
    <row r="158" customHeight="1" spans="1:38">
      <c r="A158" s="55">
        <f t="shared" si="3"/>
        <v>154</v>
      </c>
      <c r="B158" s="54">
        <f>测试题!D160</f>
        <v>0</v>
      </c>
      <c r="C158" s="54">
        <f>测试题!E160</f>
        <v>0</v>
      </c>
      <c r="D158" s="54">
        <f>测试题!F160</f>
        <v>3</v>
      </c>
      <c r="E158" s="54"/>
      <c r="F158" s="54"/>
      <c r="G158" s="54"/>
      <c r="H158" s="54">
        <f>C151+B151</f>
        <v>3</v>
      </c>
      <c r="I158" s="54"/>
      <c r="J158" s="54"/>
      <c r="K158" s="54">
        <f>C158+D158</f>
        <v>3</v>
      </c>
      <c r="L158" s="54"/>
      <c r="M158" s="54"/>
      <c r="N158" s="54"/>
      <c r="O158" s="54"/>
      <c r="P158" s="54"/>
      <c r="Q158" s="54"/>
      <c r="R158" s="54"/>
      <c r="S158" s="54"/>
      <c r="T158" s="54"/>
      <c r="U158" s="54">
        <f>C158+B158</f>
        <v>0</v>
      </c>
      <c r="V158" s="54"/>
      <c r="W158" s="54"/>
      <c r="X158" s="54">
        <f>C158+D158</f>
        <v>3</v>
      </c>
      <c r="Y158" s="54"/>
      <c r="Z158" s="54"/>
      <c r="AA158" s="54"/>
      <c r="AB158" s="54"/>
      <c r="AC158" s="54"/>
      <c r="AD158" s="54"/>
      <c r="AE158" s="54"/>
      <c r="AF158" s="54"/>
      <c r="AG158" s="54"/>
      <c r="AH158" s="54"/>
      <c r="AI158" s="54"/>
      <c r="AJ158" s="54"/>
      <c r="AK158" s="54">
        <f>C158+D158</f>
        <v>3</v>
      </c>
      <c r="AL158" s="54"/>
    </row>
    <row r="159" customHeight="1" spans="1:38">
      <c r="A159" s="55">
        <f t="shared" si="3"/>
        <v>155</v>
      </c>
      <c r="B159" s="54">
        <f>测试题!D161</f>
        <v>3</v>
      </c>
      <c r="C159" s="54">
        <f>测试题!E161</f>
        <v>0</v>
      </c>
      <c r="D159" s="54">
        <f>测试题!F161</f>
        <v>0</v>
      </c>
      <c r="E159" s="54"/>
      <c r="F159" s="54"/>
      <c r="G159" s="54"/>
      <c r="H159" s="54"/>
      <c r="I159" s="54"/>
      <c r="J159" s="54"/>
      <c r="K159" s="54"/>
      <c r="L159" s="54"/>
      <c r="M159" s="54">
        <f>C159+D159</f>
        <v>0</v>
      </c>
      <c r="N159" s="54"/>
      <c r="O159" s="54"/>
      <c r="P159" s="54"/>
      <c r="Q159" s="54"/>
      <c r="R159" s="54"/>
      <c r="S159" s="54"/>
      <c r="T159" s="54"/>
      <c r="U159" s="54"/>
      <c r="V159" s="54"/>
      <c r="W159" s="54"/>
      <c r="X159" s="54">
        <f>C159+B159</f>
        <v>3</v>
      </c>
      <c r="Y159" s="54"/>
      <c r="Z159" s="54"/>
      <c r="AA159" s="54"/>
      <c r="AB159" s="54">
        <f>C159+B159</f>
        <v>3</v>
      </c>
      <c r="AC159" s="54">
        <f>C159+B159</f>
        <v>3</v>
      </c>
      <c r="AD159" s="54"/>
      <c r="AE159" s="54"/>
      <c r="AF159" s="54"/>
      <c r="AG159" s="54"/>
      <c r="AH159" s="54"/>
      <c r="AI159" s="54"/>
      <c r="AJ159" s="54"/>
      <c r="AK159" s="54"/>
      <c r="AL159" s="54"/>
    </row>
    <row r="160" customHeight="1" spans="1:38">
      <c r="A160" s="55">
        <f t="shared" si="3"/>
        <v>156</v>
      </c>
      <c r="B160" s="54">
        <f>测试题!D162</f>
        <v>0</v>
      </c>
      <c r="C160" s="54">
        <f>测试题!E162</f>
        <v>0</v>
      </c>
      <c r="D160" s="54">
        <f>测试题!F162</f>
        <v>2</v>
      </c>
      <c r="E160" s="54"/>
      <c r="F160" s="54">
        <f>C160+D160</f>
        <v>2</v>
      </c>
      <c r="G160" s="54"/>
      <c r="H160" s="54"/>
      <c r="I160" s="54"/>
      <c r="J160" s="54"/>
      <c r="K160" s="54"/>
      <c r="L160" s="54"/>
      <c r="M160" s="54"/>
      <c r="N160" s="54"/>
      <c r="O160" s="54"/>
      <c r="P160" s="54"/>
      <c r="Q160" s="54"/>
      <c r="R160" s="54"/>
      <c r="S160" s="54"/>
      <c r="T160" s="54"/>
      <c r="U160" s="54"/>
      <c r="V160" s="54"/>
      <c r="W160" s="54"/>
      <c r="X160" s="54">
        <f>C160+B160</f>
        <v>0</v>
      </c>
      <c r="Y160" s="54"/>
      <c r="Z160" s="54"/>
      <c r="AA160" s="54"/>
      <c r="AB160" s="54"/>
      <c r="AC160" s="54"/>
      <c r="AD160" s="54"/>
      <c r="AE160" s="54"/>
      <c r="AF160" s="54"/>
      <c r="AG160" s="54"/>
      <c r="AH160" s="54"/>
      <c r="AI160" s="54"/>
      <c r="AJ160" s="54"/>
      <c r="AK160" s="54"/>
      <c r="AL160" s="54"/>
    </row>
    <row r="161" customHeight="1" spans="1:38">
      <c r="A161" s="55">
        <f t="shared" si="3"/>
        <v>157</v>
      </c>
      <c r="B161" s="54">
        <f>测试题!D163</f>
        <v>2</v>
      </c>
      <c r="C161" s="54">
        <f>测试题!E163</f>
        <v>0</v>
      </c>
      <c r="D161" s="54">
        <f>测试题!F163</f>
        <v>0</v>
      </c>
      <c r="E161" s="54"/>
      <c r="F161" s="54"/>
      <c r="G161" s="54"/>
      <c r="H161" s="54">
        <f>C161+D161</f>
        <v>0</v>
      </c>
      <c r="I161" s="54"/>
      <c r="J161" s="54"/>
      <c r="K161" s="54"/>
      <c r="L161" s="54">
        <f>C161+B161</f>
        <v>2</v>
      </c>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row>
    <row r="162" customHeight="1" spans="1:38">
      <c r="A162" s="55">
        <f t="shared" si="3"/>
        <v>158</v>
      </c>
      <c r="B162" s="54">
        <f>测试题!D164</f>
        <v>3</v>
      </c>
      <c r="C162" s="54">
        <f>测试题!E164</f>
        <v>0</v>
      </c>
      <c r="D162" s="54">
        <f>测试题!F164</f>
        <v>0</v>
      </c>
      <c r="E162" s="54"/>
      <c r="F162" s="54">
        <f>C162+D162</f>
        <v>0</v>
      </c>
      <c r="G162" s="54"/>
      <c r="H162" s="54"/>
      <c r="I162" s="54"/>
      <c r="J162" s="54"/>
      <c r="K162" s="54"/>
      <c r="L162" s="54"/>
      <c r="M162" s="54"/>
      <c r="N162" s="54"/>
      <c r="O162" s="54"/>
      <c r="P162" s="54"/>
      <c r="Q162" s="54"/>
      <c r="R162" s="54"/>
      <c r="S162" s="54"/>
      <c r="T162" s="54"/>
      <c r="U162" s="54"/>
      <c r="V162" s="54"/>
      <c r="W162" s="54"/>
      <c r="X162" s="54">
        <f>C162+B162</f>
        <v>3</v>
      </c>
      <c r="Y162" s="54"/>
      <c r="Z162" s="54"/>
      <c r="AA162" s="54"/>
      <c r="AB162" s="54">
        <f>C162+B162</f>
        <v>3</v>
      </c>
      <c r="AC162" s="56"/>
      <c r="AD162" s="54"/>
      <c r="AE162" s="54"/>
      <c r="AF162" s="54"/>
      <c r="AG162" s="54"/>
      <c r="AH162" s="54"/>
      <c r="AI162" s="54"/>
      <c r="AJ162" s="54"/>
      <c r="AK162" s="54"/>
      <c r="AL162" s="54"/>
    </row>
    <row r="163" customHeight="1" spans="1:38">
      <c r="A163" s="55">
        <f t="shared" si="3"/>
        <v>159</v>
      </c>
      <c r="B163" s="54">
        <f>测试题!D165</f>
        <v>0</v>
      </c>
      <c r="C163" s="54">
        <f>测试题!E165</f>
        <v>0</v>
      </c>
      <c r="D163" s="54">
        <f>测试题!F165</f>
        <v>2</v>
      </c>
      <c r="E163" s="54"/>
      <c r="F163" s="54"/>
      <c r="G163" s="54"/>
      <c r="H163" s="54"/>
      <c r="I163" s="54"/>
      <c r="J163" s="54"/>
      <c r="K163" s="54"/>
      <c r="L163" s="54"/>
      <c r="M163" s="54"/>
      <c r="N163" s="54"/>
      <c r="O163" s="54"/>
      <c r="P163" s="54"/>
      <c r="Q163" s="54"/>
      <c r="R163" s="54"/>
      <c r="S163" s="54"/>
      <c r="T163" s="54"/>
      <c r="U163" s="54"/>
      <c r="V163" s="54"/>
      <c r="W163" s="54">
        <f>C163+B163</f>
        <v>0</v>
      </c>
      <c r="X163" s="54"/>
      <c r="Y163" s="54">
        <f>C163+D163</f>
        <v>2</v>
      </c>
      <c r="Z163" s="54"/>
      <c r="AA163" s="54"/>
      <c r="AB163" s="54"/>
      <c r="AC163" s="54"/>
      <c r="AD163" s="54"/>
      <c r="AE163" s="54"/>
      <c r="AF163" s="54"/>
      <c r="AG163" s="54"/>
      <c r="AH163" s="54"/>
      <c r="AI163" s="54"/>
      <c r="AJ163" s="54"/>
      <c r="AK163" s="54"/>
      <c r="AL163" s="54"/>
    </row>
    <row r="164" customHeight="1" spans="1:38">
      <c r="A164" s="55">
        <f t="shared" si="3"/>
        <v>160</v>
      </c>
      <c r="B164" s="54">
        <f>测试题!D166</f>
        <v>3</v>
      </c>
      <c r="C164" s="54">
        <f>测试题!E166</f>
        <v>0</v>
      </c>
      <c r="D164" s="54">
        <f>测试题!F166</f>
        <v>0</v>
      </c>
      <c r="E164" s="54">
        <f>C164+B164</f>
        <v>3</v>
      </c>
      <c r="F164" s="54"/>
      <c r="G164" s="54"/>
      <c r="H164" s="54">
        <f>C164+D164</f>
        <v>0</v>
      </c>
      <c r="I164" s="54"/>
      <c r="J164" s="54">
        <f>C164+B164</f>
        <v>3</v>
      </c>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f>C164+B164</f>
        <v>3</v>
      </c>
      <c r="AH164" s="54">
        <f>C164+B164</f>
        <v>3</v>
      </c>
      <c r="AI164" s="54"/>
      <c r="AJ164" s="54"/>
      <c r="AK164" s="54"/>
      <c r="AL164" s="54"/>
    </row>
    <row r="165" customHeight="1" spans="1:38">
      <c r="A165" s="55">
        <f t="shared" si="3"/>
        <v>161</v>
      </c>
      <c r="B165" s="54">
        <f>测试题!D167</f>
        <v>2</v>
      </c>
      <c r="C165" s="54">
        <f>测试题!E167</f>
        <v>0</v>
      </c>
      <c r="D165" s="54">
        <f>测试题!F167</f>
        <v>0</v>
      </c>
      <c r="E165" s="54"/>
      <c r="F165" s="54"/>
      <c r="G165" s="54"/>
      <c r="H165" s="54"/>
      <c r="I165" s="54"/>
      <c r="J165" s="54"/>
      <c r="K165" s="54"/>
      <c r="L165" s="54"/>
      <c r="M165" s="54"/>
      <c r="N165" s="54"/>
      <c r="O165" s="54"/>
      <c r="P165" s="54"/>
      <c r="Q165" s="54"/>
      <c r="R165" s="54"/>
      <c r="S165" s="54"/>
      <c r="T165" s="54"/>
      <c r="U165" s="54"/>
      <c r="V165" s="54"/>
      <c r="W165" s="54"/>
      <c r="X165" s="54">
        <f>C165+B165</f>
        <v>2</v>
      </c>
      <c r="Y165" s="54"/>
      <c r="Z165" s="54"/>
      <c r="AA165" s="54"/>
      <c r="AB165" s="54">
        <f>C165+B165</f>
        <v>2</v>
      </c>
      <c r="AC165" s="54">
        <f>C165+B165</f>
        <v>2</v>
      </c>
      <c r="AD165" s="54"/>
      <c r="AE165" s="54"/>
      <c r="AF165" s="54"/>
      <c r="AG165" s="54"/>
      <c r="AH165" s="54"/>
      <c r="AI165" s="54"/>
      <c r="AJ165" s="54"/>
      <c r="AK165" s="54"/>
      <c r="AL165" s="54"/>
    </row>
    <row r="166" customHeight="1" spans="1:38">
      <c r="A166" s="55">
        <f t="shared" si="3"/>
        <v>162</v>
      </c>
      <c r="B166" s="54">
        <f>测试题!D168</f>
        <v>0</v>
      </c>
      <c r="C166" s="54">
        <f>测试题!E168</f>
        <v>0</v>
      </c>
      <c r="D166" s="54">
        <f>测试题!F168</f>
        <v>3</v>
      </c>
      <c r="E166" s="54"/>
      <c r="F166" s="54"/>
      <c r="G166" s="54"/>
      <c r="H166" s="54"/>
      <c r="I166" s="54"/>
      <c r="J166" s="54">
        <f>C166+D166</f>
        <v>3</v>
      </c>
      <c r="K166" s="54"/>
      <c r="L166" s="54"/>
      <c r="M166" s="54"/>
      <c r="N166" s="54"/>
      <c r="O166" s="54"/>
      <c r="P166" s="54"/>
      <c r="Q166" s="54"/>
      <c r="R166" s="54">
        <f>C166+B166</f>
        <v>0</v>
      </c>
      <c r="S166" s="54"/>
      <c r="T166" s="54"/>
      <c r="U166" s="54"/>
      <c r="V166" s="54"/>
      <c r="W166" s="54"/>
      <c r="X166" s="54"/>
      <c r="Y166" s="54"/>
      <c r="Z166" s="54"/>
      <c r="AA166" s="54"/>
      <c r="AB166" s="54"/>
      <c r="AC166" s="54"/>
      <c r="AD166" s="54"/>
      <c r="AE166" s="54"/>
      <c r="AF166" s="54"/>
      <c r="AG166" s="54">
        <f>C166+D166</f>
        <v>3</v>
      </c>
      <c r="AH166" s="54"/>
      <c r="AI166" s="54"/>
      <c r="AJ166" s="54"/>
      <c r="AK166" s="54"/>
      <c r="AL166" s="54"/>
    </row>
    <row r="167" customHeight="1" spans="1:38">
      <c r="A167" s="55">
        <f t="shared" si="3"/>
        <v>163</v>
      </c>
      <c r="B167" s="54">
        <f>测试题!D169</f>
        <v>3</v>
      </c>
      <c r="C167" s="54">
        <f>测试题!E169</f>
        <v>0</v>
      </c>
      <c r="D167" s="54">
        <f>测试题!F169</f>
        <v>0</v>
      </c>
      <c r="E167" s="54"/>
      <c r="F167" s="54"/>
      <c r="G167" s="54"/>
      <c r="H167" s="54"/>
      <c r="I167" s="54"/>
      <c r="J167" s="54"/>
      <c r="K167" s="54"/>
      <c r="L167" s="54"/>
      <c r="M167" s="54"/>
      <c r="N167" s="54"/>
      <c r="O167" s="54"/>
      <c r="P167" s="54"/>
      <c r="Q167" s="54"/>
      <c r="R167" s="54"/>
      <c r="S167" s="54"/>
      <c r="T167" s="54"/>
      <c r="U167" s="54">
        <f>C167+D167</f>
        <v>0</v>
      </c>
      <c r="V167" s="54"/>
      <c r="W167" s="54"/>
      <c r="X167" s="54">
        <f>C167+B167</f>
        <v>3</v>
      </c>
      <c r="Y167" s="54"/>
      <c r="Z167" s="54"/>
      <c r="AA167" s="54"/>
      <c r="AB167" s="54"/>
      <c r="AC167" s="54"/>
      <c r="AD167" s="54"/>
      <c r="AE167" s="54"/>
      <c r="AF167" s="54"/>
      <c r="AG167" s="54">
        <f>C167+B167</f>
        <v>3</v>
      </c>
      <c r="AH167" s="54"/>
      <c r="AI167" s="54"/>
      <c r="AJ167" s="54"/>
      <c r="AK167" s="54"/>
      <c r="AL167" s="54"/>
    </row>
    <row r="168" customHeight="1" spans="1:38">
      <c r="A168" s="55">
        <f t="shared" si="3"/>
        <v>164</v>
      </c>
      <c r="B168" s="54">
        <f>测试题!D170</f>
        <v>3</v>
      </c>
      <c r="C168" s="54">
        <f>测试题!E170</f>
        <v>0</v>
      </c>
      <c r="D168" s="54">
        <f>测试题!F170</f>
        <v>0</v>
      </c>
      <c r="E168" s="54"/>
      <c r="F168" s="54"/>
      <c r="G168" s="54"/>
      <c r="H168" s="54"/>
      <c r="I168" s="54"/>
      <c r="J168" s="54"/>
      <c r="K168" s="54"/>
      <c r="L168" s="54"/>
      <c r="M168" s="54"/>
      <c r="N168" s="54">
        <f>C168+D168</f>
        <v>0</v>
      </c>
      <c r="O168" s="54"/>
      <c r="P168" s="54"/>
      <c r="Q168" s="54"/>
      <c r="R168" s="54"/>
      <c r="S168" s="54"/>
      <c r="T168" s="54"/>
      <c r="U168" s="54"/>
      <c r="V168" s="54"/>
      <c r="W168" s="54"/>
      <c r="X168" s="54">
        <f>C168+B168</f>
        <v>3</v>
      </c>
      <c r="Y168" s="54">
        <f>C168+D168</f>
        <v>0</v>
      </c>
      <c r="Z168" s="54">
        <f>C168+D168</f>
        <v>0</v>
      </c>
      <c r="AA168" s="54"/>
      <c r="AB168" s="54">
        <f>C168+B168</f>
        <v>3</v>
      </c>
      <c r="AC168" s="54"/>
      <c r="AD168" s="54"/>
      <c r="AE168" s="54"/>
      <c r="AF168" s="54"/>
      <c r="AG168" s="54"/>
      <c r="AH168" s="54"/>
      <c r="AI168" s="54"/>
      <c r="AJ168" s="54"/>
      <c r="AK168" s="54"/>
      <c r="AL168" s="54"/>
    </row>
    <row r="169" customHeight="1" spans="1:38">
      <c r="A169" s="55">
        <f t="shared" si="3"/>
        <v>165</v>
      </c>
      <c r="B169" s="54">
        <f>测试题!D171</f>
        <v>0</v>
      </c>
      <c r="C169" s="54">
        <f>测试题!E171</f>
        <v>0</v>
      </c>
      <c r="D169" s="54">
        <f>测试题!F171</f>
        <v>3</v>
      </c>
      <c r="E169" s="54"/>
      <c r="F169" s="54"/>
      <c r="G169" s="54"/>
      <c r="H169" s="54">
        <f>C169+B169</f>
        <v>0</v>
      </c>
      <c r="I169" s="54"/>
      <c r="J169" s="54"/>
      <c r="K169" s="54"/>
      <c r="L169" s="54"/>
      <c r="M169" s="54"/>
      <c r="N169" s="54"/>
      <c r="O169" s="54"/>
      <c r="P169" s="54"/>
      <c r="Q169" s="54"/>
      <c r="R169" s="54"/>
      <c r="S169" s="54"/>
      <c r="T169" s="54"/>
      <c r="U169" s="54">
        <f>C169+B169</f>
        <v>0</v>
      </c>
      <c r="V169" s="54"/>
      <c r="W169" s="54"/>
      <c r="X169" s="54">
        <f>C169+D169</f>
        <v>3</v>
      </c>
      <c r="Y169" s="54"/>
      <c r="Z169" s="54"/>
      <c r="AA169" s="54"/>
      <c r="AB169" s="54">
        <f>C169+B169</f>
        <v>0</v>
      </c>
      <c r="AC169" s="54"/>
      <c r="AD169" s="54"/>
      <c r="AE169" s="54"/>
      <c r="AF169" s="54"/>
      <c r="AG169" s="54"/>
      <c r="AH169" s="54"/>
      <c r="AI169" s="54"/>
      <c r="AJ169" s="54"/>
      <c r="AK169" s="54"/>
      <c r="AL169" s="54"/>
    </row>
    <row r="170" customHeight="1" spans="1:38">
      <c r="A170" s="55">
        <f t="shared" si="3"/>
        <v>166</v>
      </c>
      <c r="B170" s="54">
        <f>测试题!D172</f>
        <v>3</v>
      </c>
      <c r="C170" s="54">
        <f>测试题!E172</f>
        <v>0</v>
      </c>
      <c r="D170" s="54">
        <f>测试题!F172</f>
        <v>0</v>
      </c>
      <c r="E170" s="54"/>
      <c r="F170" s="54"/>
      <c r="G170" s="54"/>
      <c r="H170" s="54">
        <f>C170+B170</f>
        <v>3</v>
      </c>
      <c r="I170" s="54"/>
      <c r="J170" s="54"/>
      <c r="K170" s="54"/>
      <c r="L170" s="54"/>
      <c r="M170" s="54"/>
      <c r="N170" s="54"/>
      <c r="O170" s="54"/>
      <c r="P170" s="54"/>
      <c r="Q170" s="54"/>
      <c r="R170" s="54"/>
      <c r="S170" s="54"/>
      <c r="T170" s="54"/>
      <c r="U170" s="54"/>
      <c r="V170" s="54"/>
      <c r="W170" s="54"/>
      <c r="X170" s="54"/>
      <c r="Y170" s="54"/>
      <c r="Z170" s="54"/>
      <c r="AA170" s="54"/>
      <c r="AB170" s="54"/>
      <c r="AC170" s="54">
        <f>C170+D170</f>
        <v>0</v>
      </c>
      <c r="AD170" s="54"/>
      <c r="AE170" s="54"/>
      <c r="AF170" s="54"/>
      <c r="AG170" s="54"/>
      <c r="AH170" s="54"/>
      <c r="AI170" s="54"/>
      <c r="AJ170" s="54"/>
      <c r="AK170" s="54"/>
      <c r="AL170" s="54"/>
    </row>
    <row r="171" customHeight="1" spans="1:38">
      <c r="A171" s="55">
        <f t="shared" si="3"/>
        <v>167</v>
      </c>
      <c r="B171" s="54">
        <f>测试题!D173</f>
        <v>3</v>
      </c>
      <c r="C171" s="54">
        <f>测试题!E173</f>
        <v>0</v>
      </c>
      <c r="D171" s="54">
        <f>测试题!F173</f>
        <v>0</v>
      </c>
      <c r="E171" s="54">
        <f>C171+B171</f>
        <v>3</v>
      </c>
      <c r="F171" s="54"/>
      <c r="G171" s="54"/>
      <c r="H171" s="54"/>
      <c r="I171" s="54"/>
      <c r="J171" s="54"/>
      <c r="K171" s="54"/>
      <c r="L171" s="54"/>
      <c r="M171" s="54">
        <f>C171+B171</f>
        <v>3</v>
      </c>
      <c r="N171" s="54"/>
      <c r="O171" s="54"/>
      <c r="P171" s="54"/>
      <c r="Q171" s="54"/>
      <c r="R171" s="54">
        <f>C171+D171</f>
        <v>0</v>
      </c>
      <c r="S171" s="54"/>
      <c r="T171" s="54">
        <f>C171+D171</f>
        <v>0</v>
      </c>
      <c r="U171" s="54"/>
      <c r="V171" s="54"/>
      <c r="W171" s="54"/>
      <c r="X171" s="54"/>
      <c r="Y171" s="54"/>
      <c r="Z171" s="54">
        <f>C171+B171</f>
        <v>3</v>
      </c>
      <c r="AA171" s="54"/>
      <c r="AB171" s="54"/>
      <c r="AC171" s="54"/>
      <c r="AD171" s="54"/>
      <c r="AE171" s="54"/>
      <c r="AF171" s="54"/>
      <c r="AG171" s="54"/>
      <c r="AH171" s="54"/>
      <c r="AI171" s="54"/>
      <c r="AJ171" s="54"/>
      <c r="AK171" s="54"/>
      <c r="AL171" s="54"/>
    </row>
    <row r="172" customHeight="1" spans="1:38">
      <c r="A172" s="55">
        <f t="shared" si="3"/>
        <v>168</v>
      </c>
      <c r="B172" s="54">
        <f>测试题!D174</f>
        <v>3</v>
      </c>
      <c r="C172" s="54">
        <f>测试题!E174</f>
        <v>0</v>
      </c>
      <c r="D172" s="54">
        <f>测试题!F174</f>
        <v>0</v>
      </c>
      <c r="E172" s="54"/>
      <c r="F172" s="54"/>
      <c r="G172" s="54"/>
      <c r="H172" s="54"/>
      <c r="I172" s="54"/>
      <c r="J172" s="54">
        <f>C172+B172</f>
        <v>3</v>
      </c>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f>C172+D172</f>
        <v>0</v>
      </c>
      <c r="AJ172" s="54"/>
      <c r="AK172" s="54">
        <f>C172+D172</f>
        <v>0</v>
      </c>
      <c r="AL172" s="54"/>
    </row>
    <row r="173" customHeight="1" spans="1:38">
      <c r="A173" s="55">
        <f t="shared" si="3"/>
        <v>169</v>
      </c>
      <c r="B173" s="54">
        <f>测试题!D175</f>
        <v>3</v>
      </c>
      <c r="C173" s="54">
        <f>测试题!E175</f>
        <v>0</v>
      </c>
      <c r="D173" s="54">
        <f>测试题!F175</f>
        <v>0</v>
      </c>
      <c r="E173" s="54"/>
      <c r="F173" s="54"/>
      <c r="G173" s="54"/>
      <c r="H173" s="54"/>
      <c r="I173" s="54"/>
      <c r="J173" s="54"/>
      <c r="K173" s="54"/>
      <c r="L173" s="54"/>
      <c r="M173" s="54"/>
      <c r="N173" s="54">
        <f>C173+D173</f>
        <v>0</v>
      </c>
      <c r="O173" s="54"/>
      <c r="P173" s="54"/>
      <c r="Q173" s="54"/>
      <c r="R173" s="54"/>
      <c r="S173" s="54"/>
      <c r="T173" s="54"/>
      <c r="U173" s="54"/>
      <c r="V173" s="54"/>
      <c r="W173" s="54">
        <f>C173+D173</f>
        <v>0</v>
      </c>
      <c r="X173" s="54"/>
      <c r="Y173" s="54">
        <f>C173+D173</f>
        <v>0</v>
      </c>
      <c r="Z173" s="54"/>
      <c r="AA173" s="54"/>
      <c r="AB173" s="54">
        <f>C173+B173</f>
        <v>3</v>
      </c>
      <c r="AC173" s="54"/>
      <c r="AD173" s="54"/>
      <c r="AE173" s="54"/>
      <c r="AF173" s="54"/>
      <c r="AG173" s="54"/>
      <c r="AH173" s="54"/>
      <c r="AI173" s="54"/>
      <c r="AJ173" s="54"/>
      <c r="AK173" s="54"/>
      <c r="AL173" s="54"/>
    </row>
    <row r="174" customHeight="1" spans="1:38">
      <c r="A174" s="55">
        <f t="shared" si="3"/>
        <v>170</v>
      </c>
      <c r="B174" s="54">
        <f>测试题!D176</f>
        <v>2</v>
      </c>
      <c r="C174" s="54">
        <f>测试题!E176</f>
        <v>0</v>
      </c>
      <c r="D174" s="54">
        <f>测试题!F176</f>
        <v>0</v>
      </c>
      <c r="E174" s="54"/>
      <c r="F174" s="54"/>
      <c r="G174" s="54"/>
      <c r="H174" s="54"/>
      <c r="I174" s="54"/>
      <c r="J174" s="54"/>
      <c r="K174" s="54"/>
      <c r="L174" s="54"/>
      <c r="M174" s="54"/>
      <c r="N174" s="54">
        <f>C174+D174</f>
        <v>0</v>
      </c>
      <c r="O174" s="54"/>
      <c r="P174" s="54"/>
      <c r="Q174" s="54"/>
      <c r="R174" s="54"/>
      <c r="S174" s="54"/>
      <c r="T174" s="54"/>
      <c r="U174" s="54"/>
      <c r="V174" s="54"/>
      <c r="W174" s="54"/>
      <c r="X174" s="54"/>
      <c r="Y174" s="54"/>
      <c r="Z174" s="54"/>
      <c r="AA174" s="54"/>
      <c r="AB174" s="54"/>
      <c r="AC174" s="54"/>
      <c r="AD174" s="54">
        <f>C174+B174</f>
        <v>2</v>
      </c>
      <c r="AE174" s="54"/>
      <c r="AF174" s="54"/>
      <c r="AG174" s="54"/>
      <c r="AH174" s="54"/>
      <c r="AI174" s="54"/>
      <c r="AJ174" s="54"/>
      <c r="AK174" s="54"/>
      <c r="AL174" s="54"/>
    </row>
    <row r="175" customHeight="1" spans="1:38">
      <c r="A175" s="55">
        <f t="shared" si="3"/>
        <v>171</v>
      </c>
      <c r="B175" s="54">
        <f>测试题!D177</f>
        <v>2</v>
      </c>
      <c r="C175" s="54">
        <f>测试题!E177</f>
        <v>0</v>
      </c>
      <c r="D175" s="54">
        <f>测试题!F177</f>
        <v>0</v>
      </c>
      <c r="E175" s="54"/>
      <c r="F175" s="54"/>
      <c r="G175" s="54"/>
      <c r="H175" s="54"/>
      <c r="I175" s="54"/>
      <c r="J175" s="54">
        <f>C175+D175</f>
        <v>0</v>
      </c>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f>C175+B175</f>
        <v>2</v>
      </c>
      <c r="AJ175" s="54"/>
      <c r="AK175" s="54"/>
      <c r="AL175" s="54"/>
    </row>
    <row r="176" customHeight="1" spans="1:38">
      <c r="A176" s="55">
        <f t="shared" si="3"/>
        <v>172</v>
      </c>
      <c r="B176" s="54">
        <f>测试题!D178</f>
        <v>0</v>
      </c>
      <c r="C176" s="54">
        <f>测试题!E178</f>
        <v>0</v>
      </c>
      <c r="D176" s="54">
        <f>测试题!F178</f>
        <v>3</v>
      </c>
      <c r="E176" s="54"/>
      <c r="F176" s="54"/>
      <c r="G176" s="54"/>
      <c r="H176" s="54"/>
      <c r="I176" s="54"/>
      <c r="J176" s="54"/>
      <c r="K176" s="54"/>
      <c r="L176" s="54"/>
      <c r="M176" s="54"/>
      <c r="N176" s="54"/>
      <c r="O176" s="54">
        <f>C176+B176</f>
        <v>0</v>
      </c>
      <c r="P176" s="54"/>
      <c r="Q176" s="54"/>
      <c r="R176" s="54"/>
      <c r="S176" s="54"/>
      <c r="T176" s="54"/>
      <c r="U176" s="54"/>
      <c r="V176" s="54">
        <f>C176+D176</f>
        <v>3</v>
      </c>
      <c r="W176" s="54"/>
      <c r="X176" s="54"/>
      <c r="Y176" s="54"/>
      <c r="Z176" s="54"/>
      <c r="AA176" s="54"/>
      <c r="AB176" s="54"/>
      <c r="AC176" s="54"/>
      <c r="AD176" s="54"/>
      <c r="AE176" s="54"/>
      <c r="AF176" s="54"/>
      <c r="AG176" s="54"/>
      <c r="AH176" s="54"/>
      <c r="AI176" s="54"/>
      <c r="AJ176" s="54"/>
      <c r="AK176" s="54"/>
      <c r="AL176" s="54"/>
    </row>
    <row r="177" customHeight="1" spans="1:38">
      <c r="A177" s="55">
        <f t="shared" si="3"/>
        <v>173</v>
      </c>
      <c r="B177" s="54">
        <f>测试题!D179</f>
        <v>0</v>
      </c>
      <c r="C177" s="54">
        <f>测试题!E179</f>
        <v>1</v>
      </c>
      <c r="D177" s="54">
        <f>测试题!F179</f>
        <v>0</v>
      </c>
      <c r="E177" s="54"/>
      <c r="F177" s="54"/>
      <c r="G177" s="54"/>
      <c r="H177" s="54"/>
      <c r="I177" s="54"/>
      <c r="J177" s="54"/>
      <c r="K177" s="54"/>
      <c r="L177" s="54"/>
      <c r="M177" s="54">
        <f>C177+D177</f>
        <v>1</v>
      </c>
      <c r="N177" s="54"/>
      <c r="O177" s="54">
        <f>C177+B177</f>
        <v>1</v>
      </c>
      <c r="P177" s="54"/>
      <c r="Q177" s="54">
        <f>C177+B177</f>
        <v>1</v>
      </c>
      <c r="R177" s="54"/>
      <c r="S177" s="54"/>
      <c r="T177" s="54"/>
      <c r="U177" s="54"/>
      <c r="V177" s="54"/>
      <c r="W177" s="54"/>
      <c r="X177" s="54"/>
      <c r="Y177" s="54"/>
      <c r="Z177" s="54"/>
      <c r="AA177" s="54">
        <f>C177+D177</f>
        <v>1</v>
      </c>
      <c r="AB177" s="54"/>
      <c r="AC177" s="54"/>
      <c r="AD177" s="54"/>
      <c r="AE177" s="54"/>
      <c r="AF177" s="54"/>
      <c r="AG177" s="54"/>
      <c r="AH177" s="54"/>
      <c r="AI177" s="54"/>
      <c r="AJ177" s="54"/>
      <c r="AK177" s="54"/>
      <c r="AL177" s="54"/>
    </row>
    <row r="178" customHeight="1" spans="1:38">
      <c r="A178" s="55">
        <f t="shared" si="3"/>
        <v>174</v>
      </c>
      <c r="B178" s="54">
        <f>测试题!D180</f>
        <v>3</v>
      </c>
      <c r="C178" s="54">
        <f>测试题!E180</f>
        <v>0</v>
      </c>
      <c r="D178" s="54">
        <f>测试题!F180</f>
        <v>0</v>
      </c>
      <c r="E178" s="54"/>
      <c r="F178" s="54"/>
      <c r="G178" s="54"/>
      <c r="H178" s="54"/>
      <c r="I178" s="54">
        <f>C178+B178</f>
        <v>3</v>
      </c>
      <c r="J178" s="54"/>
      <c r="K178" s="54"/>
      <c r="L178" s="54"/>
      <c r="M178" s="54"/>
      <c r="N178" s="54"/>
      <c r="O178" s="54"/>
      <c r="P178" s="54"/>
      <c r="Q178" s="54">
        <f>C178+D178</f>
        <v>0</v>
      </c>
      <c r="R178" s="54"/>
      <c r="S178" s="54"/>
      <c r="T178" s="54"/>
      <c r="U178" s="54"/>
      <c r="V178" s="54"/>
      <c r="W178" s="54"/>
      <c r="X178" s="54"/>
      <c r="Y178" s="54"/>
      <c r="Z178" s="54"/>
      <c r="AA178" s="54"/>
      <c r="AB178" s="54"/>
      <c r="AC178" s="54"/>
      <c r="AD178" s="54"/>
      <c r="AE178" s="54"/>
      <c r="AF178" s="54"/>
      <c r="AG178" s="54"/>
      <c r="AH178" s="54">
        <f>C177+D177</f>
        <v>1</v>
      </c>
      <c r="AI178" s="54"/>
      <c r="AJ178" s="54"/>
      <c r="AK178" s="54"/>
      <c r="AL178" s="54"/>
    </row>
    <row r="179" customHeight="1" spans="1:38">
      <c r="A179" s="55">
        <f t="shared" si="3"/>
        <v>175</v>
      </c>
      <c r="B179" s="54">
        <f>测试题!D181</f>
        <v>0</v>
      </c>
      <c r="C179" s="54">
        <f>测试题!E181</f>
        <v>0</v>
      </c>
      <c r="D179" s="54">
        <f>测试题!F181</f>
        <v>2</v>
      </c>
      <c r="E179" s="54"/>
      <c r="F179" s="54"/>
      <c r="G179" s="54">
        <f>C179+B179</f>
        <v>0</v>
      </c>
      <c r="H179" s="54"/>
      <c r="I179" s="54">
        <f>C179+B179</f>
        <v>0</v>
      </c>
      <c r="J179" s="54"/>
      <c r="K179" s="54"/>
      <c r="L179" s="54"/>
      <c r="M179" s="54"/>
      <c r="N179" s="54"/>
      <c r="O179" s="54"/>
      <c r="P179" s="54"/>
      <c r="Q179" s="54"/>
      <c r="R179" s="54">
        <f>C179+D179</f>
        <v>2</v>
      </c>
      <c r="S179" s="54"/>
      <c r="T179" s="54">
        <f>C179+D179</f>
        <v>2</v>
      </c>
      <c r="U179" s="54"/>
      <c r="V179" s="54"/>
      <c r="W179" s="54"/>
      <c r="X179" s="54"/>
      <c r="Y179" s="54"/>
      <c r="Z179" s="54"/>
      <c r="AA179" s="54"/>
      <c r="AB179" s="54"/>
      <c r="AC179" s="54"/>
      <c r="AD179" s="54"/>
      <c r="AE179" s="54"/>
      <c r="AF179" s="54"/>
      <c r="AG179" s="54"/>
      <c r="AH179" s="54"/>
      <c r="AI179" s="54"/>
      <c r="AJ179" s="54"/>
      <c r="AK179" s="54"/>
      <c r="AL179" s="54"/>
    </row>
    <row r="180" customHeight="1" spans="1:38">
      <c r="A180" s="55">
        <f t="shared" si="3"/>
        <v>176</v>
      </c>
      <c r="B180" s="54">
        <f>测试题!D182</f>
        <v>0</v>
      </c>
      <c r="C180" s="54">
        <f>测试题!E182</f>
        <v>0</v>
      </c>
      <c r="D180" s="54">
        <f>测试题!F182</f>
        <v>2</v>
      </c>
      <c r="E180" s="54"/>
      <c r="F180" s="54"/>
      <c r="G180" s="54"/>
      <c r="H180" s="54"/>
      <c r="I180" s="54"/>
      <c r="J180" s="54"/>
      <c r="K180" s="54"/>
      <c r="L180" s="54"/>
      <c r="M180" s="54"/>
      <c r="N180" s="54"/>
      <c r="O180" s="54">
        <f>C180+B180</f>
        <v>0</v>
      </c>
      <c r="P180" s="54"/>
      <c r="Q180" s="54"/>
      <c r="R180" s="54"/>
      <c r="S180" s="54"/>
      <c r="T180" s="54"/>
      <c r="U180" s="54"/>
      <c r="V180" s="54">
        <f>C180+D180</f>
        <v>2</v>
      </c>
      <c r="W180" s="54"/>
      <c r="X180" s="54"/>
      <c r="Y180" s="54"/>
      <c r="Z180" s="54"/>
      <c r="AA180" s="54"/>
      <c r="AB180" s="54"/>
      <c r="AC180" s="54"/>
      <c r="AD180" s="54"/>
      <c r="AE180" s="54"/>
      <c r="AF180" s="54"/>
      <c r="AG180" s="54"/>
      <c r="AH180" s="54"/>
      <c r="AI180" s="54"/>
      <c r="AJ180" s="54"/>
      <c r="AK180" s="54"/>
      <c r="AL180" s="54"/>
    </row>
    <row r="181" customHeight="1" spans="1:38">
      <c r="A181" s="55">
        <f t="shared" si="3"/>
        <v>177</v>
      </c>
      <c r="B181" s="54">
        <f>测试题!D183</f>
        <v>0</v>
      </c>
      <c r="C181" s="54">
        <f>测试题!E183</f>
        <v>1</v>
      </c>
      <c r="D181" s="54">
        <f>测试题!F183</f>
        <v>0</v>
      </c>
      <c r="E181" s="54"/>
      <c r="F181" s="54"/>
      <c r="G181" s="54"/>
      <c r="H181" s="54"/>
      <c r="I181" s="54"/>
      <c r="J181" s="54"/>
      <c r="K181" s="54"/>
      <c r="L181" s="54">
        <f>C181+D181</f>
        <v>1</v>
      </c>
      <c r="M181" s="54"/>
      <c r="N181" s="54"/>
      <c r="O181" s="54">
        <f>C181+B181</f>
        <v>1</v>
      </c>
      <c r="P181" s="54"/>
      <c r="Q181" s="54">
        <f>C181+B181+D181</f>
        <v>1</v>
      </c>
      <c r="R181" s="54"/>
      <c r="S181" s="54"/>
      <c r="T181" s="54"/>
      <c r="U181" s="54"/>
      <c r="V181" s="54">
        <f>C181+D181</f>
        <v>1</v>
      </c>
      <c r="W181" s="54"/>
      <c r="X181" s="54"/>
      <c r="Y181" s="54"/>
      <c r="Z181" s="54"/>
      <c r="AA181" s="54">
        <f>C181+B181</f>
        <v>1</v>
      </c>
      <c r="AB181" s="54"/>
      <c r="AC181" s="54"/>
      <c r="AD181" s="54"/>
      <c r="AE181" s="54"/>
      <c r="AF181" s="54"/>
      <c r="AG181" s="54"/>
      <c r="AH181" s="54"/>
      <c r="AI181" s="54"/>
      <c r="AJ181" s="54"/>
      <c r="AK181" s="54"/>
      <c r="AL181" s="54"/>
    </row>
    <row r="182" customHeight="1" spans="1:38">
      <c r="A182" s="55">
        <f t="shared" si="3"/>
        <v>178</v>
      </c>
      <c r="B182" s="54">
        <f>测试题!D184</f>
        <v>3</v>
      </c>
      <c r="C182" s="54">
        <f>测试题!E184</f>
        <v>0</v>
      </c>
      <c r="D182" s="54">
        <f>测试题!F184</f>
        <v>0</v>
      </c>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f>C182+B182</f>
        <v>3</v>
      </c>
      <c r="AG182" s="54"/>
      <c r="AH182" s="54"/>
      <c r="AI182" s="54"/>
      <c r="AJ182" s="54"/>
      <c r="AK182" s="54"/>
      <c r="AL182" s="54">
        <f>C182+D182</f>
        <v>0</v>
      </c>
    </row>
    <row r="183" customHeight="1" spans="1:38">
      <c r="A183" s="55">
        <f t="shared" si="3"/>
        <v>179</v>
      </c>
      <c r="B183" s="54">
        <f>测试题!D185</f>
        <v>2</v>
      </c>
      <c r="C183" s="54">
        <f>测试题!E185</f>
        <v>0</v>
      </c>
      <c r="D183" s="54">
        <f>测试题!F185</f>
        <v>0</v>
      </c>
      <c r="E183" s="54"/>
      <c r="F183" s="54"/>
      <c r="G183" s="54">
        <f>C183+D183</f>
        <v>0</v>
      </c>
      <c r="H183" s="54"/>
      <c r="I183" s="54"/>
      <c r="J183" s="54"/>
      <c r="K183" s="54"/>
      <c r="L183" s="54"/>
      <c r="M183" s="54"/>
      <c r="N183" s="54"/>
      <c r="O183" s="54"/>
      <c r="P183" s="54"/>
      <c r="Q183" s="54"/>
      <c r="R183" s="54"/>
      <c r="S183" s="54"/>
      <c r="T183" s="54"/>
      <c r="U183" s="54"/>
      <c r="V183" s="54"/>
      <c r="W183" s="54"/>
      <c r="X183" s="54"/>
      <c r="Y183" s="54"/>
      <c r="Z183" s="54"/>
      <c r="AA183" s="54">
        <f>C183+D183</f>
        <v>0</v>
      </c>
      <c r="AB183" s="54"/>
      <c r="AC183" s="54"/>
      <c r="AD183" s="54"/>
      <c r="AE183" s="54"/>
      <c r="AF183" s="54"/>
      <c r="AG183" s="54"/>
      <c r="AH183" s="54"/>
      <c r="AI183" s="54"/>
      <c r="AJ183" s="54"/>
      <c r="AK183" s="54">
        <f>C183+B183</f>
        <v>2</v>
      </c>
      <c r="AL183" s="54"/>
    </row>
    <row r="184" customHeight="1" spans="1:38">
      <c r="A184" s="55">
        <f t="shared" si="3"/>
        <v>180</v>
      </c>
      <c r="B184" s="54">
        <f>测试题!D186</f>
        <v>0</v>
      </c>
      <c r="C184" s="54">
        <f>测试题!E186</f>
        <v>1</v>
      </c>
      <c r="D184" s="54">
        <f>测试题!F186</f>
        <v>0</v>
      </c>
      <c r="E184" s="54"/>
      <c r="F184" s="54"/>
      <c r="G184" s="54"/>
      <c r="H184" s="54"/>
      <c r="I184" s="54"/>
      <c r="J184" s="54"/>
      <c r="K184" s="54"/>
      <c r="L184" s="54"/>
      <c r="M184" s="54"/>
      <c r="N184" s="54">
        <f>C184+D184</f>
        <v>1</v>
      </c>
      <c r="O184" s="54"/>
      <c r="P184" s="54"/>
      <c r="Q184" s="54">
        <f>C184+D184</f>
        <v>1</v>
      </c>
      <c r="R184" s="54"/>
      <c r="S184" s="54"/>
      <c r="T184" s="54"/>
      <c r="U184" s="54"/>
      <c r="V184" s="54"/>
      <c r="W184" s="54"/>
      <c r="X184" s="54"/>
      <c r="Y184" s="54"/>
      <c r="Z184" s="54">
        <f>C184+D184</f>
        <v>1</v>
      </c>
      <c r="AA184" s="54"/>
      <c r="AB184" s="54"/>
      <c r="AC184" s="54"/>
      <c r="AD184" s="54"/>
      <c r="AE184" s="54"/>
      <c r="AF184" s="54"/>
      <c r="AG184" s="54"/>
      <c r="AH184" s="54">
        <f>C184+B184</f>
        <v>1</v>
      </c>
      <c r="AI184" s="54">
        <f>C184+B184</f>
        <v>1</v>
      </c>
      <c r="AJ184" s="54"/>
      <c r="AK184" s="54"/>
      <c r="AL184" s="54"/>
    </row>
  </sheetData>
  <sheetProtection password="C64F" sheet="1" objects="1" scenarios="1"/>
  <mergeCells count="2">
    <mergeCell ref="A2:D2"/>
    <mergeCell ref="A3:C3"/>
  </mergeCell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1"/>
  <sheetViews>
    <sheetView showGridLines="0" workbookViewId="0">
      <selection activeCell="D3" sqref="D3"/>
    </sheetView>
  </sheetViews>
  <sheetFormatPr defaultColWidth="9" defaultRowHeight="15.6" outlineLevelCol="1"/>
  <cols>
    <col min="1" max="1" width="9" style="33" customWidth="1"/>
    <col min="2" max="2" width="72.125" style="34" customWidth="1"/>
  </cols>
  <sheetData>
    <row r="1" spans="2:2">
      <c r="B1" s="34" t="s">
        <v>473</v>
      </c>
    </row>
    <row r="2" spans="1:2">
      <c r="A2" s="35" t="s">
        <v>15</v>
      </c>
      <c r="B2" s="34" t="s">
        <v>474</v>
      </c>
    </row>
    <row r="3" ht="171.6" spans="2:2">
      <c r="B3" s="34" t="s">
        <v>475</v>
      </c>
    </row>
    <row r="4" spans="2:2">
      <c r="B4" s="34" t="s">
        <v>476</v>
      </c>
    </row>
    <row r="5" ht="31.2" spans="1:2">
      <c r="A5" s="35" t="s">
        <v>33</v>
      </c>
      <c r="B5" s="34" t="s">
        <v>477</v>
      </c>
    </row>
    <row r="6" ht="140.4" spans="2:2">
      <c r="B6" s="34" t="s">
        <v>478</v>
      </c>
    </row>
    <row r="8" spans="2:2">
      <c r="B8" s="34" t="s">
        <v>479</v>
      </c>
    </row>
    <row r="9" ht="31.2" spans="1:2">
      <c r="A9" s="35" t="s">
        <v>464</v>
      </c>
      <c r="B9" s="34" t="s">
        <v>480</v>
      </c>
    </row>
    <row r="10" ht="202.8" spans="2:2">
      <c r="B10" s="34" t="s">
        <v>481</v>
      </c>
    </row>
    <row r="12" spans="2:2">
      <c r="B12" s="34" t="s">
        <v>482</v>
      </c>
    </row>
    <row r="13" spans="1:2">
      <c r="A13" s="35" t="s">
        <v>19</v>
      </c>
      <c r="B13" s="34" t="s">
        <v>483</v>
      </c>
    </row>
    <row r="14" ht="202.8" spans="2:2">
      <c r="B14" s="34" t="s">
        <v>484</v>
      </c>
    </row>
    <row r="16" spans="2:2">
      <c r="B16" s="34" t="s">
        <v>485</v>
      </c>
    </row>
    <row r="17" ht="31.2" spans="1:2">
      <c r="A17" s="35" t="s">
        <v>435</v>
      </c>
      <c r="B17" s="34" t="s">
        <v>486</v>
      </c>
    </row>
    <row r="18" ht="187.2" spans="2:2">
      <c r="B18" s="34" t="s">
        <v>487</v>
      </c>
    </row>
    <row r="20" spans="2:2">
      <c r="B20" s="34" t="s">
        <v>488</v>
      </c>
    </row>
    <row r="21" spans="1:2">
      <c r="A21" s="35" t="s">
        <v>466</v>
      </c>
      <c r="B21" s="34" t="s">
        <v>489</v>
      </c>
    </row>
    <row r="22" ht="156" spans="2:2">
      <c r="B22" s="34" t="s">
        <v>490</v>
      </c>
    </row>
    <row r="24" spans="2:2">
      <c r="B24" s="34" t="s">
        <v>491</v>
      </c>
    </row>
    <row r="25" spans="1:2">
      <c r="A25" s="35" t="s">
        <v>23</v>
      </c>
      <c r="B25" s="34" t="s">
        <v>492</v>
      </c>
    </row>
    <row r="26" ht="234" spans="2:2">
      <c r="B26" s="34" t="s">
        <v>493</v>
      </c>
    </row>
    <row r="28" spans="2:2">
      <c r="B28" s="34" t="s">
        <v>494</v>
      </c>
    </row>
    <row r="29" spans="1:2">
      <c r="A29" s="35" t="s">
        <v>429</v>
      </c>
      <c r="B29" s="34" t="s">
        <v>495</v>
      </c>
    </row>
    <row r="30" ht="156" spans="2:2">
      <c r="B30" s="34" t="s">
        <v>496</v>
      </c>
    </row>
    <row r="32" spans="1:2">
      <c r="A32" s="35"/>
      <c r="B32" s="34" t="s">
        <v>497</v>
      </c>
    </row>
    <row r="33" spans="1:2">
      <c r="A33" s="35" t="s">
        <v>462</v>
      </c>
      <c r="B33" s="34" t="s">
        <v>498</v>
      </c>
    </row>
    <row r="34" ht="124.8" spans="2:2">
      <c r="B34" s="34" t="s">
        <v>499</v>
      </c>
    </row>
    <row r="36" spans="2:2">
      <c r="B36" s="34" t="s">
        <v>500</v>
      </c>
    </row>
    <row r="37" spans="1:2">
      <c r="A37" s="35" t="s">
        <v>43</v>
      </c>
      <c r="B37" s="34" t="s">
        <v>501</v>
      </c>
    </row>
    <row r="38" ht="171.6" spans="2:2">
      <c r="B38" s="34" t="s">
        <v>502</v>
      </c>
    </row>
    <row r="39" spans="2:2">
      <c r="B39" s="34" t="s">
        <v>503</v>
      </c>
    </row>
    <row r="40" ht="31.2" spans="1:2">
      <c r="A40" s="35" t="s">
        <v>433</v>
      </c>
      <c r="B40" s="34" t="s">
        <v>504</v>
      </c>
    </row>
    <row r="41" ht="109.2" spans="2:2">
      <c r="B41" s="34" t="s">
        <v>505</v>
      </c>
    </row>
    <row r="43" spans="2:2">
      <c r="B43" s="34" t="s">
        <v>506</v>
      </c>
    </row>
    <row r="44" spans="1:2">
      <c r="A44" s="35" t="s">
        <v>425</v>
      </c>
      <c r="B44" s="34" t="s">
        <v>507</v>
      </c>
    </row>
    <row r="45" ht="140.4" spans="2:2">
      <c r="B45" s="34" t="s">
        <v>508</v>
      </c>
    </row>
    <row r="47" spans="2:2">
      <c r="B47" s="34" t="s">
        <v>509</v>
      </c>
    </row>
    <row r="48" ht="31.2" spans="1:2">
      <c r="A48" s="35" t="s">
        <v>437</v>
      </c>
      <c r="B48" s="34" t="s">
        <v>510</v>
      </c>
    </row>
    <row r="49" ht="140.4" spans="2:2">
      <c r="B49" s="34" t="s">
        <v>511</v>
      </c>
    </row>
    <row r="51" spans="2:2">
      <c r="B51" s="34" t="s">
        <v>512</v>
      </c>
    </row>
    <row r="52" spans="1:2">
      <c r="A52" s="35" t="s">
        <v>448</v>
      </c>
      <c r="B52" s="34" t="s">
        <v>513</v>
      </c>
    </row>
    <row r="53" ht="156" spans="2:2">
      <c r="B53" s="34" t="s">
        <v>514</v>
      </c>
    </row>
    <row r="54" spans="2:2">
      <c r="B54" s="34" t="s">
        <v>515</v>
      </c>
    </row>
    <row r="55" spans="1:2">
      <c r="A55" s="35" t="s">
        <v>468</v>
      </c>
      <c r="B55" s="34" t="s">
        <v>516</v>
      </c>
    </row>
    <row r="56" ht="140.4" spans="2:2">
      <c r="B56" s="34" t="s">
        <v>517</v>
      </c>
    </row>
    <row r="58" spans="2:2">
      <c r="B58" s="34" t="s">
        <v>518</v>
      </c>
    </row>
    <row r="59" ht="31.2" spans="1:2">
      <c r="A59" s="35" t="s">
        <v>27</v>
      </c>
      <c r="B59" s="34" t="s">
        <v>519</v>
      </c>
    </row>
    <row r="60" ht="156" spans="2:2">
      <c r="B60" s="34" t="s">
        <v>520</v>
      </c>
    </row>
    <row r="62" spans="2:2">
      <c r="B62" s="34" t="s">
        <v>521</v>
      </c>
    </row>
    <row r="63" spans="1:2">
      <c r="A63" s="35" t="s">
        <v>450</v>
      </c>
      <c r="B63" s="34" t="s">
        <v>522</v>
      </c>
    </row>
    <row r="64" ht="156" spans="2:2">
      <c r="B64" s="34" t="s">
        <v>523</v>
      </c>
    </row>
    <row r="66" spans="2:2">
      <c r="B66" s="34" t="s">
        <v>524</v>
      </c>
    </row>
    <row r="67" ht="32.25" customHeight="1" spans="1:2">
      <c r="A67" s="35" t="s">
        <v>31</v>
      </c>
      <c r="B67" s="34" t="s">
        <v>525</v>
      </c>
    </row>
    <row r="68" ht="202.8" spans="2:2">
      <c r="B68" s="34" t="s">
        <v>526</v>
      </c>
    </row>
    <row r="69" ht="187.2" spans="2:2">
      <c r="B69" s="34" t="s">
        <v>527</v>
      </c>
    </row>
    <row r="70" spans="2:2">
      <c r="B70" s="34" t="s">
        <v>528</v>
      </c>
    </row>
    <row r="71" spans="1:2">
      <c r="A71" s="35" t="s">
        <v>41</v>
      </c>
      <c r="B71" s="34" t="s">
        <v>529</v>
      </c>
    </row>
    <row r="72" ht="187.2" spans="2:2">
      <c r="B72" s="34" t="s">
        <v>530</v>
      </c>
    </row>
    <row r="74" spans="2:2">
      <c r="B74" s="34" t="s">
        <v>531</v>
      </c>
    </row>
    <row r="75" spans="1:2">
      <c r="A75" s="35" t="s">
        <v>441</v>
      </c>
      <c r="B75" s="34" t="s">
        <v>532</v>
      </c>
    </row>
    <row r="76" ht="156" spans="2:2">
      <c r="B76" s="34" t="s">
        <v>533</v>
      </c>
    </row>
    <row r="78" spans="2:2">
      <c r="B78" s="34" t="s">
        <v>534</v>
      </c>
    </row>
    <row r="79" ht="31.2" spans="1:2">
      <c r="A79" s="35" t="s">
        <v>452</v>
      </c>
      <c r="B79" s="34" t="s">
        <v>453</v>
      </c>
    </row>
    <row r="80" ht="140.4" spans="2:2">
      <c r="B80" s="34" t="s">
        <v>535</v>
      </c>
    </row>
    <row r="82" spans="2:2">
      <c r="B82" s="34" t="s">
        <v>536</v>
      </c>
    </row>
    <row r="83" ht="31.2" spans="1:2">
      <c r="A83" s="35" t="s">
        <v>444</v>
      </c>
      <c r="B83" s="34" t="s">
        <v>537</v>
      </c>
    </row>
    <row r="84" ht="140.4" spans="2:2">
      <c r="B84" s="34" t="s">
        <v>538</v>
      </c>
    </row>
    <row r="86" spans="2:2">
      <c r="B86" s="34" t="s">
        <v>539</v>
      </c>
    </row>
    <row r="87" ht="31.2" spans="1:2">
      <c r="A87" s="35" t="s">
        <v>446</v>
      </c>
      <c r="B87" s="34" t="s">
        <v>540</v>
      </c>
    </row>
    <row r="88" ht="156" spans="2:2">
      <c r="B88" s="34" t="s">
        <v>541</v>
      </c>
    </row>
    <row r="89" spans="2:2">
      <c r="B89" s="34" t="s">
        <v>542</v>
      </c>
    </row>
    <row r="90" spans="1:2">
      <c r="A90" s="35" t="s">
        <v>37</v>
      </c>
      <c r="B90" s="34" t="s">
        <v>543</v>
      </c>
    </row>
    <row r="91" ht="124.8" spans="2:2">
      <c r="B91" s="34" t="s">
        <v>544</v>
      </c>
    </row>
    <row r="93" spans="2:2">
      <c r="B93" s="34" t="s">
        <v>545</v>
      </c>
    </row>
    <row r="94" ht="31.2" spans="1:2">
      <c r="A94" s="35" t="s">
        <v>458</v>
      </c>
      <c r="B94" s="34" t="s">
        <v>546</v>
      </c>
    </row>
    <row r="95" ht="156" spans="2:2">
      <c r="B95" s="34" t="s">
        <v>547</v>
      </c>
    </row>
    <row r="97" spans="2:2">
      <c r="B97" s="34" t="s">
        <v>548</v>
      </c>
    </row>
    <row r="98" ht="31.2" spans="1:2">
      <c r="A98" s="35" t="s">
        <v>439</v>
      </c>
      <c r="B98" s="34" t="s">
        <v>549</v>
      </c>
    </row>
    <row r="99" ht="156" spans="2:2">
      <c r="B99" s="34" t="s">
        <v>550</v>
      </c>
    </row>
    <row r="101" spans="2:2">
      <c r="B101" s="34" t="s">
        <v>551</v>
      </c>
    </row>
    <row r="102" spans="1:2">
      <c r="A102" s="35" t="s">
        <v>460</v>
      </c>
      <c r="B102" s="34" t="s">
        <v>552</v>
      </c>
    </row>
    <row r="103" ht="124.8" spans="2:2">
      <c r="B103" s="34" t="s">
        <v>553</v>
      </c>
    </row>
    <row r="105" spans="2:2">
      <c r="B105" s="34" t="s">
        <v>554</v>
      </c>
    </row>
    <row r="106" spans="1:2">
      <c r="A106" s="35" t="s">
        <v>431</v>
      </c>
      <c r="B106" s="34" t="s">
        <v>555</v>
      </c>
    </row>
    <row r="107" ht="109.2" spans="2:2">
      <c r="B107" s="34" t="s">
        <v>556</v>
      </c>
    </row>
    <row r="109" spans="2:2">
      <c r="B109" s="34" t="s">
        <v>557</v>
      </c>
    </row>
    <row r="110" spans="1:2">
      <c r="A110" s="35" t="s">
        <v>454</v>
      </c>
      <c r="B110" s="34" t="s">
        <v>558</v>
      </c>
    </row>
    <row r="111" ht="171.6" spans="2:2">
      <c r="B111" s="34" t="s">
        <v>559</v>
      </c>
    </row>
    <row r="113" spans="2:2">
      <c r="B113" s="34" t="s">
        <v>560</v>
      </c>
    </row>
    <row r="114" spans="1:2">
      <c r="A114" s="35" t="s">
        <v>35</v>
      </c>
      <c r="B114" s="34" t="s">
        <v>561</v>
      </c>
    </row>
    <row r="115" ht="140.4" spans="2:2">
      <c r="B115" s="34" t="s">
        <v>562</v>
      </c>
    </row>
    <row r="117" spans="2:2">
      <c r="B117" s="34" t="s">
        <v>563</v>
      </c>
    </row>
    <row r="118" spans="1:2">
      <c r="A118" s="35" t="s">
        <v>456</v>
      </c>
      <c r="B118" s="34" t="s">
        <v>564</v>
      </c>
    </row>
    <row r="119" ht="124.8" spans="2:2">
      <c r="B119" s="34" t="s">
        <v>565</v>
      </c>
    </row>
    <row r="121" spans="2:2">
      <c r="B121" s="34" t="s">
        <v>566</v>
      </c>
    </row>
    <row r="122" spans="1:2">
      <c r="A122" s="35" t="s">
        <v>427</v>
      </c>
      <c r="B122" s="34" t="s">
        <v>567</v>
      </c>
    </row>
    <row r="123" ht="140.4" spans="2:2">
      <c r="B123" s="34" t="s">
        <v>568</v>
      </c>
    </row>
    <row r="125" spans="2:2">
      <c r="B125" s="34" t="s">
        <v>569</v>
      </c>
    </row>
    <row r="126" ht="31.2" spans="1:2">
      <c r="A126" s="35" t="s">
        <v>470</v>
      </c>
      <c r="B126" s="34" t="s">
        <v>471</v>
      </c>
    </row>
    <row r="127" ht="124.8" spans="2:2">
      <c r="B127" s="34" t="s">
        <v>570</v>
      </c>
    </row>
    <row r="129" spans="2:2">
      <c r="B129" s="34" t="s">
        <v>571</v>
      </c>
    </row>
    <row r="130" ht="31.2" spans="1:2">
      <c r="A130" s="35" t="s">
        <v>39</v>
      </c>
      <c r="B130" s="34" t="s">
        <v>572</v>
      </c>
    </row>
    <row r="131" ht="140.4" spans="2:2">
      <c r="B131" s="34" t="s">
        <v>573</v>
      </c>
    </row>
  </sheetData>
  <sheetProtection password="CF7A" sheet="1" objects="1" scenarios="1"/>
  <pageMargins left="0.7" right="0.7" top="0.75" bottom="0.75" header="0.3" footer="0.3"/>
  <headerFooter/>
  <pictur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1"/>
  <sheetViews>
    <sheetView showGridLines="0" topLeftCell="A43" workbookViewId="0">
      <selection activeCell="K32" sqref="K32"/>
    </sheetView>
  </sheetViews>
  <sheetFormatPr defaultColWidth="0" defaultRowHeight="15.6" zeroHeight="1"/>
  <cols>
    <col min="1" max="1" width="7.75" customWidth="1"/>
    <col min="2" max="2" width="7.125" customWidth="1"/>
    <col min="3" max="8" width="12.625" customWidth="1"/>
    <col min="9" max="9" width="7.875" customWidth="1"/>
    <col min="10" max="10" width="4.375" customWidth="1"/>
    <col min="11" max="11" width="8.75" customWidth="1"/>
    <col min="12" max="16384" width="9" hidden="1"/>
  </cols>
  <sheetData>
    <row r="1" ht="23.25" customHeight="1" spans="1:11">
      <c r="A1" s="1" t="str">
        <f>IF(结!A1="","",结!A1)</f>
        <v/>
      </c>
      <c r="B1" s="2" t="str">
        <f>IF(结!B1="","",结!B1)</f>
        <v/>
      </c>
      <c r="C1" s="1" t="str">
        <f>IF(结!C1="","",结!C1)</f>
        <v/>
      </c>
      <c r="D1" s="1" t="str">
        <f>IF(结!D1="","",结!D1)</f>
        <v/>
      </c>
      <c r="E1" s="1" t="str">
        <f>IF(结!E1="","",结!E1)</f>
        <v/>
      </c>
      <c r="F1" s="1" t="str">
        <f>IF(结!F1="","",结!F1)</f>
        <v/>
      </c>
      <c r="G1" s="1" t="str">
        <f>IF(结!G1="","",结!G1)</f>
        <v/>
      </c>
      <c r="H1" s="1" t="str">
        <f>IF(结!H1="","",结!H1)</f>
        <v/>
      </c>
      <c r="I1" s="1" t="str">
        <f>IF(结!I1="","",结!I1)</f>
        <v/>
      </c>
      <c r="J1" s="1" t="str">
        <f>IF(结!J1="","",结!J1)</f>
        <v/>
      </c>
      <c r="K1" s="1" t="str">
        <f>IF(结!K1="","",结!K1)</f>
        <v/>
      </c>
    </row>
    <row r="2" ht="34.5" customHeight="1" spans="1:11">
      <c r="A2" s="1" t="str">
        <f>IF(结!A2="","",结!A2)</f>
        <v/>
      </c>
      <c r="B2" s="3" t="str">
        <f>IF(结!B2="","",结!B2)</f>
        <v>欢迎使用Excel《盖洛普优势识别器》测试系统</v>
      </c>
      <c r="C2" s="3"/>
      <c r="D2" s="3"/>
      <c r="E2" s="3"/>
      <c r="F2" s="3"/>
      <c r="G2" s="3"/>
      <c r="H2" s="3"/>
      <c r="I2" s="3"/>
      <c r="J2" s="1" t="str">
        <f>IF(结!J2="","",结!J2)</f>
        <v/>
      </c>
      <c r="K2" s="1" t="str">
        <f>IF(结!K2="","",结!K2)</f>
        <v/>
      </c>
    </row>
    <row r="3" ht="20.25" customHeight="1" spans="1:11">
      <c r="A3" s="1" t="str">
        <f>IF(结!A3="","",结!A3)</f>
        <v/>
      </c>
      <c r="B3" s="2" t="str">
        <f>IF(结!B3="","",结!B3)</f>
        <v/>
      </c>
      <c r="C3" s="2" t="str">
        <f>IF(结!C3="","",结!C3)</f>
        <v/>
      </c>
      <c r="D3" s="4" t="str">
        <f>IF(结!D3="","",结!D3)</f>
        <v/>
      </c>
      <c r="E3" s="4" t="str">
        <f>IF(结!E3="","",结!E3)</f>
        <v/>
      </c>
      <c r="F3" s="1" t="str">
        <f>IF(结!F3="","",结!F3)</f>
        <v/>
      </c>
      <c r="G3" s="1" t="str">
        <f>IF(结!G3="","",结!G3)</f>
        <v/>
      </c>
      <c r="H3" s="1" t="str">
        <f>IF(结!H3="","",结!H3)</f>
        <v/>
      </c>
      <c r="I3" s="1" t="str">
        <f>IF(结!I3="","",结!I3)</f>
        <v/>
      </c>
      <c r="J3" s="1" t="str">
        <f>IF(结!J3="","",结!J3)</f>
        <v/>
      </c>
      <c r="K3" s="1" t="str">
        <f>IF(结!K3="","",结!K3)</f>
        <v/>
      </c>
    </row>
    <row r="4" ht="25.8" spans="1:11">
      <c r="A4" s="1" t="str">
        <f>IF(结!A4="","",结!A4)</f>
        <v/>
      </c>
      <c r="B4" s="2" t="str">
        <f>IF(结!B4="","",结!B4)</f>
        <v/>
      </c>
      <c r="C4" s="5" t="str">
        <f>IF(结!C4="","",结!C4)</f>
        <v>测试结果：</v>
      </c>
      <c r="D4" s="6" t="str">
        <f>IF(结!D4="","",结!D4)</f>
        <v/>
      </c>
      <c r="E4" s="6" t="str">
        <f>IF(结!E4="","",结!E4)</f>
        <v/>
      </c>
      <c r="F4" s="6" t="str">
        <f>IF(结!F4="","",结!F4)</f>
        <v/>
      </c>
      <c r="G4" s="6" t="str">
        <f>IF(结!G4="","",结!G4)</f>
        <v/>
      </c>
      <c r="H4" s="6" t="str">
        <f>IF(结!H4="","",结!H4)</f>
        <v/>
      </c>
      <c r="I4" s="1" t="str">
        <f>IF(结!I4="","",结!I4)</f>
        <v/>
      </c>
      <c r="J4" s="1" t="str">
        <f>IF(结!J4="","",结!J4)</f>
        <v/>
      </c>
      <c r="K4" s="1" t="str">
        <f>IF(结!K4="","",结!K4)</f>
        <v/>
      </c>
    </row>
    <row r="5" ht="43.5" customHeight="1" spans="1:11">
      <c r="A5" s="1" t="str">
        <f>IF(结!A5="","",结!A5)</f>
        <v/>
      </c>
      <c r="B5" s="2" t="str">
        <f>IF(结!B5="","",结!B5)</f>
        <v/>
      </c>
      <c r="C5" s="7" t="str">
        <f>IF(结!C5="","",结!C5)</f>
        <v>答题的过程中以下各项优势均随着答题情况不断变化，
    答题完成后的排序就是您性格优势的排列顺序。</v>
      </c>
      <c r="D5" s="7" t="str">
        <f>IF(结!D5="","",结!D5)</f>
        <v/>
      </c>
      <c r="E5" s="7" t="str">
        <f>IF(结!E5="","",结!E5)</f>
        <v/>
      </c>
      <c r="F5" s="7" t="str">
        <f>IF(结!F5="","",结!F5)</f>
        <v/>
      </c>
      <c r="G5" s="7" t="str">
        <f>IF(结!G5="","",结!G5)</f>
        <v/>
      </c>
      <c r="H5" s="7" t="str">
        <f>IF(结!H5="","",结!H5)</f>
        <v/>
      </c>
      <c r="I5" s="1" t="str">
        <f>IF(结!I5="","",结!I5)</f>
        <v/>
      </c>
      <c r="J5" s="1" t="str">
        <f>IF(结!J5="","",结!J5)</f>
        <v/>
      </c>
      <c r="K5" s="1" t="str">
        <f>IF(结!K5="","",结!K5)</f>
        <v/>
      </c>
    </row>
    <row r="6" ht="3.75" customHeight="1" spans="1:11">
      <c r="A6" s="1" t="str">
        <f>IF(结!A6="","",结!A6)</f>
        <v/>
      </c>
      <c r="B6" s="2" t="str">
        <f>IF(结!B6="","",结!B6)</f>
        <v/>
      </c>
      <c r="C6" s="8" t="str">
        <f>IF(结!C6="","",结!C6)</f>
        <v/>
      </c>
      <c r="D6" s="8" t="str">
        <f>IF(结!D6="","",结!D6)</f>
        <v/>
      </c>
      <c r="E6" s="8" t="str">
        <f>IF(结!E6="","",结!E6)</f>
        <v/>
      </c>
      <c r="F6" s="8" t="str">
        <f>IF(结!F6="","",结!F6)</f>
        <v/>
      </c>
      <c r="G6" s="8" t="str">
        <f>IF(结!G6="","",结!G6)</f>
        <v/>
      </c>
      <c r="H6" s="8" t="str">
        <f>IF(结!H6="","",结!H6)</f>
        <v/>
      </c>
      <c r="I6" s="1" t="str">
        <f>IF(结!I6="","",结!I6)</f>
        <v/>
      </c>
      <c r="J6" s="1" t="str">
        <f>IF(结!J6="","",结!J6)</f>
        <v/>
      </c>
      <c r="K6" s="1" t="str">
        <f>IF(结!K6="","",结!K6)</f>
        <v/>
      </c>
    </row>
    <row r="7" ht="16.35" spans="1:11">
      <c r="A7" s="1" t="str">
        <f>IF(结!A7="","",结!A7)</f>
        <v/>
      </c>
      <c r="B7" s="2" t="str">
        <f>IF(结!B7="","",结!B7)</f>
        <v/>
      </c>
      <c r="C7" s="9" t="str">
        <f>IF(结!C7="","",结!C7)</f>
        <v>NO</v>
      </c>
      <c r="D7" s="10" t="str">
        <f>IF(结!D7="","",结!D7)</f>
        <v>优势</v>
      </c>
      <c r="E7" s="10" t="str">
        <f>IF(结!E7="","",结!E7)</f>
        <v>得分</v>
      </c>
      <c r="F7" s="9" t="str">
        <f>IF(结!F7="","",结!F7)</f>
        <v>NO</v>
      </c>
      <c r="G7" s="10" t="str">
        <f>IF(结!G7="","",结!G7)</f>
        <v>优势</v>
      </c>
      <c r="H7" s="10" t="str">
        <f>IF(结!H7="","",结!H7)</f>
        <v>得分</v>
      </c>
      <c r="I7" s="1" t="str">
        <f>IF(结!I7="","",结!I7)</f>
        <v/>
      </c>
      <c r="J7" s="1" t="str">
        <f>IF(结!J7="","",结!J7)</f>
        <v/>
      </c>
      <c r="K7" s="1" t="str">
        <f>IF(结!K7="","",结!K7)</f>
        <v/>
      </c>
    </row>
    <row r="8" ht="16.35" spans="1:11">
      <c r="A8" s="1" t="str">
        <f>IF(结!A8="","",结!A8)</f>
        <v/>
      </c>
      <c r="B8" s="2" t="str">
        <f>IF(结!B8="","",结!B8)</f>
        <v/>
      </c>
      <c r="C8" s="11">
        <f>IF(结!C8="","",结!C8)</f>
        <v>1</v>
      </c>
      <c r="D8" s="12" t="str">
        <f>IF(结!D8="","",结!D8)</f>
        <v>战略</v>
      </c>
      <c r="E8" s="13">
        <f>IF(结!E8="","",结!E8)</f>
        <v>2.25</v>
      </c>
      <c r="F8" s="11">
        <f>IF(结!F8="","",结!F8)</f>
        <v>18</v>
      </c>
      <c r="G8" s="12" t="str">
        <f>IF(结!G8="","",结!G8)</f>
        <v>个别</v>
      </c>
      <c r="H8" s="13">
        <f>IF(结!H8="","",结!H8)</f>
        <v>1</v>
      </c>
      <c r="I8" s="1" t="str">
        <f>IF(结!I8="","",结!I8)</f>
        <v/>
      </c>
      <c r="J8" s="1" t="str">
        <f>IF(结!J8="","",结!J8)</f>
        <v/>
      </c>
      <c r="K8" s="1" t="str">
        <f>IF(结!K8="","",结!K8)</f>
        <v/>
      </c>
    </row>
    <row r="9" spans="1:11">
      <c r="A9" s="1" t="str">
        <f>IF(结!A9="","",结!A9)</f>
        <v/>
      </c>
      <c r="B9" s="2" t="str">
        <f>IF(结!B9="","",结!B9)</f>
        <v/>
      </c>
      <c r="C9" s="14">
        <f>IF(结!C9="","",结!C9)</f>
        <v>2</v>
      </c>
      <c r="D9" s="12" t="str">
        <f>IF(结!D9="","",结!D9)</f>
        <v>思维</v>
      </c>
      <c r="E9" s="13">
        <f>IF(结!E9="","",结!E9)</f>
        <v>2.2</v>
      </c>
      <c r="F9" s="14">
        <f>IF(结!F9="","",结!F9)</f>
        <v>19</v>
      </c>
      <c r="G9" s="12" t="str">
        <f>IF(结!G9="","",结!G9)</f>
        <v>纪律</v>
      </c>
      <c r="H9" s="13">
        <f>IF(结!H9="","",结!H9)</f>
        <v>1</v>
      </c>
      <c r="I9" s="1" t="str">
        <f>IF(结!I9="","",结!I9)</f>
        <v/>
      </c>
      <c r="J9" s="1" t="str">
        <f>IF(结!J9="","",结!J9)</f>
        <v/>
      </c>
      <c r="K9" s="1" t="str">
        <f>IF(结!K9="","",结!K9)</f>
        <v/>
      </c>
    </row>
    <row r="10" spans="1:11">
      <c r="A10" s="1" t="str">
        <f>IF(结!A10="","",结!A10)</f>
        <v/>
      </c>
      <c r="B10" s="2" t="str">
        <f>IF(结!B10="","",结!B10)</f>
        <v/>
      </c>
      <c r="C10" s="14">
        <f>IF(结!C10="","",结!C10)</f>
        <v>3</v>
      </c>
      <c r="D10" s="12" t="str">
        <f>IF(结!D10="","",结!D10)</f>
        <v>理念</v>
      </c>
      <c r="E10" s="13">
        <f>IF(结!E10="","",结!E10)</f>
        <v>2.16666666666667</v>
      </c>
      <c r="F10" s="14">
        <f>IF(结!F10="","",结!F10)</f>
        <v>20</v>
      </c>
      <c r="G10" s="12" t="str">
        <f>IF(结!G10="","",结!G10)</f>
        <v>竞争</v>
      </c>
      <c r="H10" s="13">
        <f>IF(结!H10="","",结!H10)</f>
        <v>1</v>
      </c>
      <c r="I10" s="1" t="str">
        <f>IF(结!I10="","",结!I10)</f>
        <v/>
      </c>
      <c r="J10" s="1" t="str">
        <f>IF(结!J10="","",结!J10)</f>
        <v/>
      </c>
      <c r="K10" s="1" t="str">
        <f>IF(结!K10="","",结!K10)</f>
        <v/>
      </c>
    </row>
    <row r="11" spans="1:11">
      <c r="A11" s="1" t="str">
        <f>IF(结!A11="","",结!A11)</f>
        <v/>
      </c>
      <c r="B11" s="2" t="str">
        <f>IF(结!B11="","",结!B11)</f>
        <v/>
      </c>
      <c r="C11" s="14">
        <f>IF(结!C11="","",结!C11)</f>
        <v>4</v>
      </c>
      <c r="D11" s="12" t="str">
        <f>IF(结!D11="","",结!D11)</f>
        <v>学习</v>
      </c>
      <c r="E11" s="13">
        <f>IF(结!E11="","",结!E11)</f>
        <v>1.875</v>
      </c>
      <c r="F11" s="14">
        <f>IF(结!F11="","",结!F11)</f>
        <v>21</v>
      </c>
      <c r="G11" s="12" t="str">
        <f>IF(结!G11="","",结!G11)</f>
        <v>适应</v>
      </c>
      <c r="H11" s="13">
        <f>IF(结!H11="","",结!H11)</f>
        <v>0.944444444444444</v>
      </c>
      <c r="I11" s="1" t="str">
        <f>IF(结!I11="","",结!I11)</f>
        <v/>
      </c>
      <c r="J11" s="1" t="str">
        <f>IF(结!J11="","",结!J11)</f>
        <v/>
      </c>
      <c r="K11" s="1" t="str">
        <f>IF(结!K11="","",结!K11)</f>
        <v/>
      </c>
    </row>
    <row r="12" spans="1:11">
      <c r="A12" s="1" t="str">
        <f>IF(结!A12="","",结!A12)</f>
        <v/>
      </c>
      <c r="B12" s="2" t="str">
        <f>IF(结!B12="","",结!B12)</f>
        <v/>
      </c>
      <c r="C12" s="14">
        <f>IF(结!C12="","",结!C12)</f>
        <v>5</v>
      </c>
      <c r="D12" s="12" t="str">
        <f>IF(结!D12="","",结!D12)</f>
        <v>前瞻</v>
      </c>
      <c r="E12" s="13">
        <f>IF(结!E12="","",结!E12)</f>
        <v>1.75</v>
      </c>
      <c r="F12" s="14">
        <f>IF(结!F12="","",结!F12)</f>
        <v>22</v>
      </c>
      <c r="G12" s="12" t="str">
        <f>IF(结!G12="","",结!G12)</f>
        <v>回顾</v>
      </c>
      <c r="H12" s="13">
        <f>IF(结!H12="","",结!H12)</f>
        <v>0.933333333333333</v>
      </c>
      <c r="I12" s="1" t="str">
        <f>IF(结!I12="","",结!I12)</f>
        <v/>
      </c>
      <c r="J12" s="1" t="str">
        <f>IF(结!J12="","",结!J12)</f>
        <v/>
      </c>
      <c r="K12" s="1" t="str">
        <f>IF(结!K12="","",结!K12)</f>
        <v/>
      </c>
    </row>
    <row r="13" spans="1:11">
      <c r="A13" s="1" t="str">
        <f>IF(结!A13="","",结!A13)</f>
        <v/>
      </c>
      <c r="B13" s="2" t="str">
        <f>IF(结!B13="","",结!B13)</f>
        <v/>
      </c>
      <c r="C13" s="14">
        <f>IF(结!C13="","",结!C13)</f>
        <v>6</v>
      </c>
      <c r="D13" s="12" t="str">
        <f>IF(结!D13="","",结!D13)</f>
        <v>统率</v>
      </c>
      <c r="E13" s="13">
        <f>IF(结!E13="","",结!E13)</f>
        <v>1.73333333333333</v>
      </c>
      <c r="F13" s="14">
        <f>IF(结!F13="","",结!F13)</f>
        <v>23</v>
      </c>
      <c r="G13" s="12" t="str">
        <f>IF(结!G13="","",结!G13)</f>
        <v>完美</v>
      </c>
      <c r="H13" s="13">
        <f>IF(结!H13="","",结!H13)</f>
        <v>0.882352941176471</v>
      </c>
      <c r="I13" s="1" t="str">
        <f>IF(结!I13="","",结!I13)</f>
        <v/>
      </c>
      <c r="J13" s="1" t="str">
        <f>IF(结!J13="","",结!J13)</f>
        <v/>
      </c>
      <c r="K13" s="1" t="str">
        <f>IF(结!K13="","",结!K13)</f>
        <v/>
      </c>
    </row>
    <row r="14" spans="1:11">
      <c r="A14" s="1" t="str">
        <f>IF(结!A14="","",结!A14)</f>
        <v/>
      </c>
      <c r="B14" s="2" t="str">
        <f>IF(结!B14="","",结!B14)</f>
        <v/>
      </c>
      <c r="C14" s="14">
        <f>IF(结!C14="","",结!C14)</f>
        <v>7</v>
      </c>
      <c r="D14" s="12" t="str">
        <f>IF(结!D14="","",结!D14)</f>
        <v>统筹</v>
      </c>
      <c r="E14" s="13">
        <f>IF(结!E14="","",结!E14)</f>
        <v>1.66666666666667</v>
      </c>
      <c r="F14" s="14">
        <f>IF(结!F14="","",结!F14)</f>
        <v>24</v>
      </c>
      <c r="G14" s="12" t="str">
        <f>IF(结!G14="","",结!G14)</f>
        <v>搜集</v>
      </c>
      <c r="H14" s="13">
        <f>IF(结!H14="","",结!H14)</f>
        <v>0.882352941176471</v>
      </c>
      <c r="I14" s="1" t="str">
        <f>IF(结!I14="","",结!I14)</f>
        <v/>
      </c>
      <c r="J14" s="1" t="str">
        <f>IF(结!J14="","",结!J14)</f>
        <v/>
      </c>
      <c r="K14" s="1" t="str">
        <f>IF(结!K14="","",结!K14)</f>
        <v/>
      </c>
    </row>
    <row r="15" spans="1:11">
      <c r="A15" s="1" t="str">
        <f>IF(结!A15="","",结!A15)</f>
        <v/>
      </c>
      <c r="B15" s="2" t="str">
        <f>IF(结!B15="","",结!B15)</f>
        <v/>
      </c>
      <c r="C15" s="14">
        <f>IF(结!C15="","",结!C15)</f>
        <v>8</v>
      </c>
      <c r="D15" s="12" t="str">
        <f>IF(结!D15="","",结!D15)</f>
        <v>分析</v>
      </c>
      <c r="E15" s="13">
        <f>IF(结!E15="","",结!E15)</f>
        <v>1.47368421052632</v>
      </c>
      <c r="F15" s="14">
        <f>IF(结!F15="","",结!F15)</f>
        <v>25</v>
      </c>
      <c r="G15" s="12" t="str">
        <f>IF(结!G15="","",结!G15)</f>
        <v>公平</v>
      </c>
      <c r="H15" s="13">
        <f>IF(结!H15="","",结!H15)</f>
        <v>0.875</v>
      </c>
      <c r="I15" s="1" t="str">
        <f>IF(结!I15="","",结!I15)</f>
        <v/>
      </c>
      <c r="J15" s="1" t="str">
        <f>IF(结!J15="","",结!J15)</f>
        <v/>
      </c>
      <c r="K15" s="1" t="str">
        <f>IF(结!K15="","",结!K15)</f>
        <v/>
      </c>
    </row>
    <row r="16" spans="1:11">
      <c r="A16" s="1" t="str">
        <f>IF(结!A16="","",结!A16)</f>
        <v/>
      </c>
      <c r="B16" s="2" t="str">
        <f>IF(结!B16="","",结!B16)</f>
        <v/>
      </c>
      <c r="C16" s="14">
        <f>IF(结!C16="","",结!C16)</f>
        <v>9</v>
      </c>
      <c r="D16" s="12" t="str">
        <f>IF(结!D16="","",结!D16)</f>
        <v>排难</v>
      </c>
      <c r="E16" s="13">
        <f>IF(结!E16="","",结!E16)</f>
        <v>1.4375</v>
      </c>
      <c r="F16" s="14">
        <f>IF(结!F16="","",结!F16)</f>
        <v>26</v>
      </c>
      <c r="G16" s="12" t="str">
        <f>IF(结!G16="","",结!G16)</f>
        <v>体谅</v>
      </c>
      <c r="H16" s="13">
        <f>IF(结!H16="","",结!H16)</f>
        <v>0.8</v>
      </c>
      <c r="I16" s="1" t="str">
        <f>IF(结!I16="","",结!I16)</f>
        <v/>
      </c>
      <c r="J16" s="1" t="str">
        <f>IF(结!J16="","",结!J16)</f>
        <v/>
      </c>
      <c r="K16" s="1" t="str">
        <f>IF(结!K16="","",结!K16)</f>
        <v/>
      </c>
    </row>
    <row r="17" spans="1:11">
      <c r="A17" s="1" t="str">
        <f>IF(结!A17="","",结!A17)</f>
        <v/>
      </c>
      <c r="B17" s="2" t="str">
        <f>IF(结!B17="","",结!B17)</f>
        <v/>
      </c>
      <c r="C17" s="14">
        <f>IF(结!C17="","",结!C17)</f>
        <v>10</v>
      </c>
      <c r="D17" s="12" t="str">
        <f>IF(结!D17="","",结!D17)</f>
        <v>成就</v>
      </c>
      <c r="E17" s="13">
        <f>IF(结!E17="","",结!E17)</f>
        <v>1.42105263157895</v>
      </c>
      <c r="F17" s="14">
        <f>IF(结!F17="","",结!F17)</f>
        <v>27</v>
      </c>
      <c r="G17" s="12" t="str">
        <f>IF(结!G17="","",结!G17)</f>
        <v>交往</v>
      </c>
      <c r="H17" s="13">
        <f>IF(结!H17="","",结!H17)</f>
        <v>0.75</v>
      </c>
      <c r="I17" s="1" t="str">
        <f>IF(结!I17="","",结!I17)</f>
        <v/>
      </c>
      <c r="J17" s="1" t="str">
        <f>IF(结!J17="","",结!J17)</f>
        <v/>
      </c>
      <c r="K17" s="1" t="str">
        <f>IF(结!K17="","",结!K17)</f>
        <v/>
      </c>
    </row>
    <row r="18" spans="1:11">
      <c r="A18" s="1" t="str">
        <f>IF(结!A18="","",结!A18)</f>
        <v/>
      </c>
      <c r="B18" s="2" t="str">
        <f>IF(结!B18="","",结!B18)</f>
        <v/>
      </c>
      <c r="C18" s="14">
        <f>IF(结!C18="","",结!C18)</f>
        <v>11</v>
      </c>
      <c r="D18" s="12" t="str">
        <f>IF(结!D18="","",结!D18)</f>
        <v>审慎</v>
      </c>
      <c r="E18" s="13">
        <f>IF(结!E18="","",结!E18)</f>
        <v>1.4</v>
      </c>
      <c r="F18" s="14">
        <f>IF(结!F18="","",结!F18)</f>
        <v>28</v>
      </c>
      <c r="G18" s="12" t="str">
        <f>IF(结!G18="","",结!G18)</f>
        <v>取悦</v>
      </c>
      <c r="H18" s="13">
        <f>IF(结!H18="","",结!H18)</f>
        <v>0.6875</v>
      </c>
      <c r="I18" s="1" t="str">
        <f>IF(结!I18="","",结!I18)</f>
        <v/>
      </c>
      <c r="J18" s="1" t="str">
        <f>IF(结!J18="","",结!J18)</f>
        <v/>
      </c>
      <c r="K18" s="1" t="str">
        <f>IF(结!K18="","",结!K18)</f>
        <v/>
      </c>
    </row>
    <row r="19" spans="1:11">
      <c r="A19" s="1" t="str">
        <f>IF(结!A19="","",结!A19)</f>
        <v/>
      </c>
      <c r="B19" s="2" t="str">
        <f>IF(结!B19="","",结!B19)</f>
        <v/>
      </c>
      <c r="C19" s="14">
        <f>IF(结!C19="","",结!C19)</f>
        <v>12</v>
      </c>
      <c r="D19" s="12" t="str">
        <f>IF(结!D19="","",结!D19)</f>
        <v>责任</v>
      </c>
      <c r="E19" s="13">
        <f>IF(结!E19="","",结!E19)</f>
        <v>1.375</v>
      </c>
      <c r="F19" s="14">
        <f>IF(结!F19="","",结!F19)</f>
        <v>29</v>
      </c>
      <c r="G19" s="12" t="str">
        <f>IF(结!G19="","",结!G19)</f>
        <v>包容</v>
      </c>
      <c r="H19" s="13">
        <f>IF(结!H19="","",结!H19)</f>
        <v>0.647058823529412</v>
      </c>
      <c r="I19" s="1" t="str">
        <f>IF(结!I19="","",结!I19)</f>
        <v/>
      </c>
      <c r="J19" s="1" t="str">
        <f>IF(结!J19="","",结!J19)</f>
        <v/>
      </c>
      <c r="K19" s="1" t="str">
        <f>IF(结!K19="","",结!K19)</f>
        <v/>
      </c>
    </row>
    <row r="20" spans="1:11">
      <c r="A20" s="1" t="str">
        <f>IF(结!A20="","",结!A20)</f>
        <v/>
      </c>
      <c r="B20" s="2" t="str">
        <f>IF(结!B20="","",结!B20)</f>
        <v/>
      </c>
      <c r="C20" s="14">
        <f>IF(结!C20="","",结!C20)</f>
        <v>13</v>
      </c>
      <c r="D20" s="12" t="str">
        <f>IF(结!D20="","",结!D20)</f>
        <v>自信</v>
      </c>
      <c r="E20" s="13">
        <f>IF(结!E20="","",结!E20)</f>
        <v>1.35294117647059</v>
      </c>
      <c r="F20" s="14">
        <f>IF(结!F20="","",结!F20)</f>
        <v>30</v>
      </c>
      <c r="G20" s="12" t="str">
        <f>IF(结!G20="","",结!G20)</f>
        <v>和谐</v>
      </c>
      <c r="H20" s="13">
        <f>IF(结!H20="","",结!H20)</f>
        <v>0.625</v>
      </c>
      <c r="I20" s="1" t="str">
        <f>IF(结!I20="","",结!I20)</f>
        <v/>
      </c>
      <c r="J20" s="1" t="str">
        <f>IF(结!J20="","",结!J20)</f>
        <v/>
      </c>
      <c r="K20" s="1" t="str">
        <f>IF(结!K20="","",结!K20)</f>
        <v/>
      </c>
    </row>
    <row r="21" spans="1:11">
      <c r="A21" s="1" t="str">
        <f>IF(结!A21="","",结!A21)</f>
        <v/>
      </c>
      <c r="B21" s="2" t="str">
        <f>IF(结!B21="","",结!B21)</f>
        <v/>
      </c>
      <c r="C21" s="14">
        <f>IF(结!C21="","",结!C21)</f>
        <v>14</v>
      </c>
      <c r="D21" s="12" t="str">
        <f>IF(结!D21="","",结!D21)</f>
        <v>追求</v>
      </c>
      <c r="E21" s="13">
        <f>IF(结!E21="","",结!E21)</f>
        <v>1.26315789473684</v>
      </c>
      <c r="F21" s="14">
        <f>IF(结!F21="","",结!F21)</f>
        <v>31</v>
      </c>
      <c r="G21" s="12" t="str">
        <f>IF(结!G21="","",结!G21)</f>
        <v>关联</v>
      </c>
      <c r="H21" s="13">
        <f>IF(结!H21="","",结!H21)</f>
        <v>0.611111111111111</v>
      </c>
      <c r="I21" s="1" t="str">
        <f>IF(结!I21="","",结!I21)</f>
        <v/>
      </c>
      <c r="J21" s="1" t="str">
        <f>IF(结!J21="","",结!J21)</f>
        <v/>
      </c>
      <c r="K21" s="1" t="str">
        <f>IF(结!K21="","",结!K21)</f>
        <v/>
      </c>
    </row>
    <row r="22" spans="1:11">
      <c r="A22" s="1" t="str">
        <f>IF(结!A22="","",结!A22)</f>
        <v/>
      </c>
      <c r="B22" s="2" t="str">
        <f>IF(结!B22="","",结!B22)</f>
        <v/>
      </c>
      <c r="C22" s="14">
        <f>IF(结!C22="","",结!C22)</f>
        <v>15</v>
      </c>
      <c r="D22" s="12" t="str">
        <f>IF(结!D22="","",结!D22)</f>
        <v>信仰</v>
      </c>
      <c r="E22" s="13">
        <f>IF(结!E22="","",结!E22)</f>
        <v>1.23529411764706</v>
      </c>
      <c r="F22" s="14">
        <f>IF(结!F22="","",结!F22)</f>
        <v>32</v>
      </c>
      <c r="G22" s="12" t="str">
        <f>IF(结!G22="","",结!G22)</f>
        <v>行动</v>
      </c>
      <c r="H22" s="13">
        <f>IF(结!H22="","",结!H22)</f>
        <v>0.555555555555556</v>
      </c>
      <c r="I22" s="1" t="str">
        <f>IF(结!I22="","",结!I22)</f>
        <v/>
      </c>
      <c r="J22" s="1" t="str">
        <f>IF(结!J22="","",结!J22)</f>
        <v/>
      </c>
      <c r="K22" s="1" t="str">
        <f>IF(结!K22="","",结!K22)</f>
        <v/>
      </c>
    </row>
    <row r="23" spans="1:11">
      <c r="A23" s="1" t="str">
        <f>IF(结!A23="","",结!A23)</f>
        <v/>
      </c>
      <c r="B23" s="2" t="str">
        <f>IF(结!B23="","",结!B23)</f>
        <v/>
      </c>
      <c r="C23" s="14">
        <f>IF(结!C23="","",结!C23)</f>
        <v>16</v>
      </c>
      <c r="D23" s="12" t="str">
        <f>IF(结!D23="","",结!D23)</f>
        <v>专注</v>
      </c>
      <c r="E23" s="13">
        <f>IF(结!E23="","",结!E23)</f>
        <v>1.125</v>
      </c>
      <c r="F23" s="14">
        <f>IF(结!F23="","",结!F23)</f>
        <v>33</v>
      </c>
      <c r="G23" s="12" t="str">
        <f>IF(结!G23="","",结!G23)</f>
        <v>沟通</v>
      </c>
      <c r="H23" s="13">
        <f>IF(结!H23="","",结!H23)</f>
        <v>0.5</v>
      </c>
      <c r="I23" s="1" t="str">
        <f>IF(结!I23="","",结!I23)</f>
        <v/>
      </c>
      <c r="J23" s="1" t="str">
        <f>IF(结!J23="","",结!J23)</f>
        <v/>
      </c>
      <c r="K23" s="1" t="str">
        <f>IF(结!K23="","",结!K23)</f>
        <v/>
      </c>
    </row>
    <row r="24" spans="1:11">
      <c r="A24" s="1" t="str">
        <f>IF(结!A24="","",结!A24)</f>
        <v/>
      </c>
      <c r="B24" s="2" t="str">
        <f>IF(结!B24="","",结!B24)</f>
        <v/>
      </c>
      <c r="C24" s="14">
        <f>IF(结!C24="","",结!C24)</f>
        <v>17</v>
      </c>
      <c r="D24" s="12" t="str">
        <f>IF(结!D24="","",结!D24)</f>
        <v>伯乐</v>
      </c>
      <c r="E24" s="13">
        <f>IF(结!E24="","",结!E24)</f>
        <v>1.0625</v>
      </c>
      <c r="F24" s="14">
        <f>IF(结!F24="","",结!F24)</f>
        <v>34</v>
      </c>
      <c r="G24" s="12" t="str">
        <f>IF(结!G24="","",结!G24)</f>
        <v>积极</v>
      </c>
      <c r="H24" s="13">
        <f>IF(结!H24="","",结!H24)</f>
        <v>0.3125</v>
      </c>
      <c r="I24" s="1" t="str">
        <f>IF(结!I24="","",结!I24)</f>
        <v/>
      </c>
      <c r="J24" s="1" t="str">
        <f>IF(结!J24="","",结!J24)</f>
        <v/>
      </c>
      <c r="K24" s="1" t="str">
        <f>IF(结!K24="","",结!K24)</f>
        <v/>
      </c>
    </row>
    <row r="25" ht="17.4" spans="1:11">
      <c r="A25" s="1" t="str">
        <f>IF(结!A25="","",结!A25)</f>
        <v/>
      </c>
      <c r="B25" s="2" t="str">
        <f>IF(结!B25="","",结!B25)</f>
        <v/>
      </c>
      <c r="C25" s="15" t="str">
        <f>IF(结!C25="","",结!C25)</f>
        <v/>
      </c>
      <c r="D25" s="16" t="str">
        <f>IF(结!D25="","",结!D25)</f>
        <v/>
      </c>
      <c r="E25" s="17" t="str">
        <f>IF(结!E25="","",结!E25)</f>
        <v/>
      </c>
      <c r="F25" s="1" t="str">
        <f>IF(结!F25="","",结!F25)</f>
        <v/>
      </c>
      <c r="G25" s="1" t="str">
        <f>IF(结!G25="","",结!G25)</f>
        <v/>
      </c>
      <c r="H25" s="1" t="str">
        <f>IF(结!H25="","",结!H25)</f>
        <v/>
      </c>
      <c r="I25" s="1" t="str">
        <f>IF(结!I25="","",结!I25)</f>
        <v/>
      </c>
      <c r="J25" s="1" t="str">
        <f>IF(结!J25="","",结!J25)</f>
        <v/>
      </c>
      <c r="K25" s="1" t="str">
        <f>IF(结!K25="","",结!K25)</f>
        <v/>
      </c>
    </row>
    <row r="26" ht="25.8" spans="1:11">
      <c r="A26" s="18">
        <f>IF(结!A26="","",结!A26)</f>
        <v>180</v>
      </c>
      <c r="B26" s="19" t="str">
        <f>IF(结!B26="","",结!B26)</f>
        <v>由以上结果可以看出，您的优势为：</v>
      </c>
      <c r="C26" s="19"/>
      <c r="D26" s="19"/>
      <c r="E26" s="19"/>
      <c r="F26" s="19"/>
      <c r="G26" s="19"/>
      <c r="H26" s="19"/>
      <c r="I26" s="31" t="str">
        <f>IF(结!I26="","",结!I26)</f>
        <v/>
      </c>
      <c r="J26" s="1" t="str">
        <f>IF(结!J26="","",结!J26)</f>
        <v/>
      </c>
      <c r="K26" s="1" t="str">
        <f>IF(结!K26="","",结!K26)</f>
        <v/>
      </c>
    </row>
    <row r="27" ht="32.4" spans="1:11">
      <c r="A27" s="1" t="str">
        <f>IF(结!A27="","",结!A27)</f>
        <v/>
      </c>
      <c r="B27" s="20">
        <f>IF(结!B27="","",结!B27)</f>
        <v>1</v>
      </c>
      <c r="C27" s="21" t="str">
        <f>IF(结!C27="","",结!C27)</f>
        <v>战略</v>
      </c>
      <c r="D27" s="22" t="str">
        <f>IF(结!D27="","",结!D27)</f>
        <v>战略主题较强的人足智多谋。针对不同的方案，能迅速找出相关的模式及结果。 </v>
      </c>
      <c r="E27" s="22" t="str">
        <f>IF(结!E27="","",结!E27)</f>
        <v/>
      </c>
      <c r="F27" s="22" t="str">
        <f>IF(结!F27="","",结!F27)</f>
        <v/>
      </c>
      <c r="G27" s="22" t="str">
        <f>IF(结!G27="","",结!G27)</f>
        <v/>
      </c>
      <c r="H27" s="22" t="str">
        <f>IF(结!H27="","",结!H27)</f>
        <v/>
      </c>
      <c r="I27" s="22" t="str">
        <f>IF(结!I27="","",结!I27)</f>
        <v/>
      </c>
      <c r="J27" s="1" t="str">
        <f>IF(结!J27="","",结!J27)</f>
        <v/>
      </c>
      <c r="K27" s="1" t="str">
        <f>IF(结!K27="","",结!K27)</f>
        <v/>
      </c>
    </row>
    <row r="28" ht="189.95" customHeight="1" spans="1:11">
      <c r="A28" s="1" t="str">
        <f>IF(结!A28="","",结!A28)</f>
        <v/>
      </c>
      <c r="B28" s="23" t="str">
        <f>IF(结!B28="","",结!B28)</f>
        <v/>
      </c>
      <c r="C28" s="24" t="str">
        <f>IF(结!C28="","",结!C28)</f>
        <v>战略主题使你能够透过日常琐碎，寻找前进的捷径。它不是一种可以教授的技能，而是一种与众不同的思维方式，一种独特的世界观。有了这种世界观，当别人被复杂的事物所迷惑时，你却能识别其中的规律。你将规律牢记在心，尝试各种不同的方案，不断问自己“如果发生这种情况会怎样？如果发生那种情况会怎样？”这些不断出现的问题帮助你预防不测。如此你便能够精确判断潜在的障碍。你看清各条路径的走向，就能进行筛选。你筛去死路。你筛去直通屏障的路线。你筛去通往混乱和迷茫的路线。你不断筛选，直到你选定一条路线-这就是你的战略。有了战略武装，你开始出击。这就是你的战略主题的运作模式：“倘若……会怎样？”筛选，出击。</v>
      </c>
      <c r="D28" s="24" t="str">
        <f>IF(结!D28="","",结!D28)</f>
        <v/>
      </c>
      <c r="E28" s="24" t="str">
        <f>IF(结!E28="","",结!E28)</f>
        <v/>
      </c>
      <c r="F28" s="24" t="str">
        <f>IF(结!F28="","",结!F28)</f>
        <v/>
      </c>
      <c r="G28" s="24" t="str">
        <f>IF(结!G28="","",结!G28)</f>
        <v/>
      </c>
      <c r="H28" s="24" t="str">
        <f>IF(结!H28="","",结!H28)</f>
        <v/>
      </c>
      <c r="I28" s="24" t="str">
        <f>IF(结!I28="","",结!I28)</f>
        <v/>
      </c>
      <c r="J28" s="1" t="str">
        <f>IF(结!J28="","",结!J28)</f>
        <v/>
      </c>
      <c r="K28" s="1" t="str">
        <f>IF(结!K28="","",结!K28)</f>
        <v/>
      </c>
    </row>
    <row r="29" ht="32.4" spans="1:11">
      <c r="A29" s="1" t="str">
        <f>IF(结!A29="","",结!A29)</f>
        <v/>
      </c>
      <c r="B29" s="20">
        <f>IF(结!B29="","",结!B29)</f>
        <v>2</v>
      </c>
      <c r="C29" s="21" t="str">
        <f>IF(结!C29="","",结!C29)</f>
        <v>思维</v>
      </c>
      <c r="D29" s="22" t="str">
        <f>IF(结!D29="","",结!D29)</f>
        <v>思维能力较强的人的最大特点是长于思考。他们勤于自省，敏于探讨。 </v>
      </c>
      <c r="E29" s="22" t="str">
        <f>IF(结!E29="","",结!E29)</f>
        <v/>
      </c>
      <c r="F29" s="22" t="str">
        <f>IF(结!F29="","",结!F29)</f>
        <v/>
      </c>
      <c r="G29" s="22" t="str">
        <f>IF(结!G29="","",结!G29)</f>
        <v/>
      </c>
      <c r="H29" s="22" t="str">
        <f>IF(结!H29="","",结!H29)</f>
        <v/>
      </c>
      <c r="I29" s="22" t="str">
        <f>IF(结!I29="","",结!I29)</f>
        <v/>
      </c>
      <c r="J29" s="1" t="str">
        <f>IF(结!J29="","",结!J29)</f>
        <v/>
      </c>
      <c r="K29" s="1" t="str">
        <f>IF(结!K29="","",结!K29)</f>
        <v/>
      </c>
    </row>
    <row r="30" ht="189.95" customHeight="1" spans="1:11">
      <c r="A30" s="1" t="str">
        <f>IF(结!A30="","",结!A30)</f>
        <v/>
      </c>
      <c r="B30" s="23" t="str">
        <f>IF(结!B30="","",结!B30)</f>
        <v/>
      </c>
      <c r="C30" s="24" t="str">
        <f>IF(结!C30="","",结!C30)</f>
        <v>你喜欢思考。你喜欢思想活动。你喜欢锻炼你的大脑“肌肉”，把它们四面抻扯。这种对思想活动的需求有可能是专注的，专注的焦点取决于你的其它优势。例如，你可能努力解决一个问题，或酝酿一个创意，或了解另一个人的感受。另一方面，这种思维活动很可能漫无边际。思维的主题并不一定限定你思考的具体内容。它只是说你喜欢思考。你是一个喜欢独处的人，因为这样你才能沉思冥想。你性格内向。在某种意义上，你是自己最好的伴侣，因为你扪心自问，并在自己身上测试答案。当你把自己的实际作为与你所思考的所有想法相比时，你的这种自省可能会使你略为不满。但此种自省也可能导致你关注现实问题，例如当日所发生的事件，或你准备进行的一场谈话。无论它把你引向何方，这种不停的思考是你生活中的一个固定内容。</v>
      </c>
      <c r="D30" s="24" t="str">
        <f>IF(结!D30="","",结!D30)</f>
        <v/>
      </c>
      <c r="E30" s="24" t="str">
        <f>IF(结!E30="","",结!E30)</f>
        <v/>
      </c>
      <c r="F30" s="24" t="str">
        <f>IF(结!F30="","",结!F30)</f>
        <v/>
      </c>
      <c r="G30" s="24" t="str">
        <f>IF(结!G30="","",结!G30)</f>
        <v/>
      </c>
      <c r="H30" s="24" t="str">
        <f>IF(结!H30="","",结!H30)</f>
        <v/>
      </c>
      <c r="I30" s="24" t="str">
        <f>IF(结!I30="","",结!I30)</f>
        <v/>
      </c>
      <c r="J30" s="1" t="str">
        <f>IF(结!J30="","",结!J30)</f>
        <v/>
      </c>
      <c r="K30" s="1" t="str">
        <f>IF(结!K30="","",结!K30)</f>
        <v/>
      </c>
    </row>
    <row r="31" ht="32.4" spans="1:11">
      <c r="A31" s="1" t="str">
        <f>IF(结!A31="","",结!A31)</f>
        <v/>
      </c>
      <c r="B31" s="20">
        <f>IF(结!B31="","",结!B31)</f>
        <v>3</v>
      </c>
      <c r="C31" s="21" t="str">
        <f>IF(结!C31="","",结!C31)</f>
        <v>理念</v>
      </c>
      <c r="D31" s="22" t="str">
        <f>IF(结!D31="","",结!D31)</f>
        <v>他们痴迷于各种理念，能够从貌似毫无关联的现象中找出其相互联系。 </v>
      </c>
      <c r="E31" s="22" t="str">
        <f>IF(结!E31="","",结!E31)</f>
        <v/>
      </c>
      <c r="F31" s="22" t="str">
        <f>IF(结!F31="","",结!F31)</f>
        <v/>
      </c>
      <c r="G31" s="22" t="str">
        <f>IF(结!G31="","",结!G31)</f>
        <v/>
      </c>
      <c r="H31" s="22" t="str">
        <f>IF(结!H31="","",结!H31)</f>
        <v/>
      </c>
      <c r="I31" s="22" t="str">
        <f>IF(结!I31="","",结!I31)</f>
        <v/>
      </c>
      <c r="J31" s="1" t="str">
        <f>IF(结!J31="","",结!J31)</f>
        <v/>
      </c>
      <c r="K31" s="1" t="str">
        <f>IF(结!K31="","",结!K31)</f>
        <v/>
      </c>
    </row>
    <row r="32" ht="189.95" customHeight="1" spans="1:11">
      <c r="A32" s="1" t="str">
        <f>IF(结!A32="","",结!A32)</f>
        <v/>
      </c>
      <c r="B32" s="23" t="str">
        <f>IF(结!B32="","",结!B32)</f>
        <v/>
      </c>
      <c r="C32" s="24" t="str">
        <f>IF(结!C32="","",结!C32)</f>
        <v>你为理念而痴迷。什幺是理念？理念就是概念，就是对大部分事件的最合理的解释。当你透过复杂的表层，发现一个精彩而简明的概念，继而解释事物的本质时，你会喜不自胜。理念是一种关联。你的头脑总在寻找关联；因此，当表面截然不同的现象被某个不起眼的纽带联系在一起时，你会感到新奇。一个理念是对习以为常的挑战的全新见解。你乐于将我们熟知的世界转一个圈，让我们从一个陌生但充满新意的角度看它。你喜爱所有这些理念。因为它们深刻。因为它们新颖。因为它们能正本清源。因为它们引发争论。因为它们怪诞。由于所有这些原因，每当你产生一个新理念时，你都为之一振。别人可能视你为锐意创新、标新立异、富于理性或聪明过人。也许这些你都是。谁能说得准呢？你确信无疑的是理念使你激动不已。而大多数日子里，这就足够了。</v>
      </c>
      <c r="D32" s="24" t="str">
        <f>IF(结!D32="","",结!D32)</f>
        <v/>
      </c>
      <c r="E32" s="24" t="str">
        <f>IF(结!E32="","",结!E32)</f>
        <v/>
      </c>
      <c r="F32" s="24" t="str">
        <f>IF(结!F32="","",结!F32)</f>
        <v/>
      </c>
      <c r="G32" s="24" t="str">
        <f>IF(结!G32="","",结!G32)</f>
        <v/>
      </c>
      <c r="H32" s="24" t="str">
        <f>IF(结!H32="","",结!H32)</f>
        <v/>
      </c>
      <c r="I32" s="24" t="str">
        <f>IF(结!I32="","",结!I32)</f>
        <v/>
      </c>
      <c r="J32" s="1" t="str">
        <f>IF(结!J32="","",结!J32)</f>
        <v/>
      </c>
      <c r="K32" s="1" t="str">
        <f>IF(结!K32="","",结!K32)</f>
        <v/>
      </c>
    </row>
    <row r="33" ht="32.4" spans="1:11">
      <c r="A33" s="1" t="str">
        <f>IF(结!A33="","",结!A33)</f>
        <v/>
      </c>
      <c r="B33" s="20">
        <f>IF(结!B33="","",结!B33)</f>
        <v>4</v>
      </c>
      <c r="C33" s="21" t="str">
        <f>IF(结!C33="","",结!C33)</f>
        <v>学习</v>
      </c>
      <c r="D33" s="22" t="str">
        <f>IF(结!D33="","",结!D33)</f>
        <v>学习能力强的人有旺盛的求知欲，渴望不断提高自我。尤其令他们激动的，是求知的过程而非结果。</v>
      </c>
      <c r="E33" s="22" t="str">
        <f>IF(结!E33="","",结!E33)</f>
        <v/>
      </c>
      <c r="F33" s="22" t="str">
        <f>IF(结!F33="","",结!F33)</f>
        <v/>
      </c>
      <c r="G33" s="22" t="str">
        <f>IF(结!G33="","",结!G33)</f>
        <v/>
      </c>
      <c r="H33" s="22" t="str">
        <f>IF(结!H33="","",结!H33)</f>
        <v/>
      </c>
      <c r="I33" s="22" t="str">
        <f>IF(结!I33="","",结!I33)</f>
        <v/>
      </c>
      <c r="J33" s="1" t="str">
        <f>IF(结!J33="","",结!J33)</f>
        <v/>
      </c>
      <c r="K33" s="1" t="str">
        <f>IF(结!K33="","",结!K33)</f>
        <v/>
      </c>
    </row>
    <row r="34" ht="189.95" customHeight="1" spans="1:11">
      <c r="A34" s="1" t="str">
        <f>IF(结!A34="","",结!A34)</f>
        <v/>
      </c>
      <c r="B34" s="23" t="str">
        <f>IF(结!B34="","",结!B34)</f>
        <v/>
      </c>
      <c r="C34" s="24" t="str">
        <f>IF(结!C34="","",结!C34)</f>
        <v>你热爱学习。你最感兴趣的题目取决于你的其它主题和经历。但无论是什幺题目，你总是受到学习过程的吸引。过程，而不是内容或结果，最使你兴奋。从无知到熟练的扎实而执着的进程使你精力倍增。入门的快感；初学者背诵或实践学到的内容；掌握一门新技术而日益增强的信心-这些学习的过程深深吸引着你。你对学习的激情促使你参加各种成人教程-太极拳、外语、钢琴、舞蹈或电脑培训班等等。它使你能在变动无常的环境中应付自如，无论是分配你完成一个应急项目，还是反复要求你在短时间内成为某个新题目的行家。学习主题并不一定意味着你力图成为某个专题的专家，或追求伴随某种专业或学术头衔的荣耀。相比之下，更重要的是学习的“路程”，而不是具体结果。</v>
      </c>
      <c r="D34" s="24" t="str">
        <f>IF(结!D34="","",结!D34)</f>
        <v/>
      </c>
      <c r="E34" s="24" t="str">
        <f>IF(结!E34="","",结!E34)</f>
        <v/>
      </c>
      <c r="F34" s="24" t="str">
        <f>IF(结!F34="","",结!F34)</f>
        <v/>
      </c>
      <c r="G34" s="24" t="str">
        <f>IF(结!G34="","",结!G34)</f>
        <v/>
      </c>
      <c r="H34" s="24" t="str">
        <f>IF(结!H34="","",结!H34)</f>
        <v/>
      </c>
      <c r="I34" s="24" t="str">
        <f>IF(结!I34="","",结!I34)</f>
        <v/>
      </c>
      <c r="J34" s="1" t="str">
        <f>IF(结!J34="","",结!J34)</f>
        <v/>
      </c>
      <c r="K34" s="1" t="str">
        <f>IF(结!K34="","",结!K34)</f>
        <v/>
      </c>
    </row>
    <row r="35" ht="32.4" spans="1:11">
      <c r="A35" s="1" t="str">
        <f>IF(结!A35="","",结!A35)</f>
        <v/>
      </c>
      <c r="B35" s="20">
        <f>IF(结!B35="","",结!B35)</f>
        <v>5</v>
      </c>
      <c r="C35" s="21" t="str">
        <f>IF(结!C35="","",结!C35)</f>
        <v>前瞻</v>
      </c>
      <c r="D35" s="22" t="str">
        <f>IF(结!D35="","",结!D35)</f>
        <v>对于有较强前瞻力的人而言，未来令人心潮澎湃。他们用对未来的憧憬激励周围的人。 </v>
      </c>
      <c r="E35" s="22" t="str">
        <f>IF(结!E35="","",结!E35)</f>
        <v/>
      </c>
      <c r="F35" s="22" t="str">
        <f>IF(结!F35="","",结!F35)</f>
        <v/>
      </c>
      <c r="G35" s="22" t="str">
        <f>IF(结!G35="","",结!G35)</f>
        <v/>
      </c>
      <c r="H35" s="22" t="str">
        <f>IF(结!H35="","",结!H35)</f>
        <v/>
      </c>
      <c r="I35" s="22" t="str">
        <f>IF(结!I35="","",结!I35)</f>
        <v/>
      </c>
      <c r="J35" s="1" t="str">
        <f>IF(结!J35="","",结!J35)</f>
        <v/>
      </c>
      <c r="K35" s="1" t="str">
        <f>IF(结!K35="","",结!K35)</f>
        <v/>
      </c>
    </row>
    <row r="36" ht="189.95" customHeight="1" spans="1:11">
      <c r="A36" s="1" t="str">
        <f>IF(结!A36="","",结!A36)</f>
        <v/>
      </c>
      <c r="B36" s="2" t="str">
        <f>IF(结!B36="","",结!B36)</f>
        <v/>
      </c>
      <c r="C36" s="24" t="str">
        <f>IF(结!C36="","",结!C36)</f>
        <v>“如果这样，那该多好？”你是个喜欢遥望天际的人。未来使你着迷。未来如同墙壁上的投影，在你眼中维妙维肖。这幅细致入微的图画催你奋进，奔向明天。虽然未来图景的具体内容取决于你的其它优势和兴趣-更好的产品，更好的队伍，更好的生活，或更好的世界-但它将永远给你以灵感。你是一个幻想家，能看到未来的种种可能，并珍视这样的想象。当现实使你一筹莫展，而你周围的人又过于世俗时，你就会唤起对未来的憧憬，继而精力倍增，同时振奋别人。事实上，人们往往期待你描述对未来的种种遐想。他们希望看到一幅画卷，来提高他们的眼界，继而燃起激情。你能为他们描绘这幅画卷。不断实践。字斟句酌。越生动越好。人们将拥抱你所带来的希望。</v>
      </c>
      <c r="D36" s="24" t="str">
        <f>IF(结!D36="","",结!D36)</f>
        <v/>
      </c>
      <c r="E36" s="24" t="str">
        <f>IF(结!E36="","",结!E36)</f>
        <v/>
      </c>
      <c r="F36" s="24" t="str">
        <f>IF(结!F36="","",结!F36)</f>
        <v/>
      </c>
      <c r="G36" s="24" t="str">
        <f>IF(结!G36="","",结!G36)</f>
        <v/>
      </c>
      <c r="H36" s="24" t="str">
        <f>IF(结!H36="","",结!H36)</f>
        <v/>
      </c>
      <c r="I36" s="24" t="str">
        <f>IF(结!I36="","",结!I36)</f>
        <v/>
      </c>
      <c r="J36" s="1" t="str">
        <f>IF(结!J36="","",结!J36)</f>
        <v/>
      </c>
      <c r="K36" s="1" t="str">
        <f>IF(结!K36="","",结!K36)</f>
        <v/>
      </c>
    </row>
    <row r="37" spans="1:11">
      <c r="A37" s="1" t="str">
        <f>IF(结!A37="","",结!A37)</f>
        <v/>
      </c>
      <c r="B37" s="2" t="str">
        <f>IF(结!B37="","",结!B37)</f>
        <v/>
      </c>
      <c r="C37" s="1" t="str">
        <f>IF(结!C37="","",结!C37)</f>
        <v/>
      </c>
      <c r="D37" s="25" t="str">
        <f>IF(结!D37="","",结!D37)</f>
        <v/>
      </c>
      <c r="E37" s="26" t="str">
        <f>IF(结!E37="","",结!E37)</f>
        <v/>
      </c>
      <c r="F37" s="1" t="str">
        <f>IF(结!F37="","",结!F37)</f>
        <v/>
      </c>
      <c r="G37" s="1" t="str">
        <f>IF(结!G37="","",结!G37)</f>
        <v/>
      </c>
      <c r="H37" s="1" t="str">
        <f>IF(结!H37="","",结!H37)</f>
        <v/>
      </c>
      <c r="I37" s="1" t="str">
        <f>IF(结!I37="","",结!I37)</f>
        <v/>
      </c>
      <c r="J37" s="1" t="str">
        <f>IF(结!J37="","",结!J37)</f>
        <v/>
      </c>
      <c r="K37" s="1" t="str">
        <f>IF(结!K37="","",结!K37)</f>
        <v/>
      </c>
    </row>
    <row r="38" spans="1:11">
      <c r="A38" s="1" t="str">
        <f>IF(结!A38="","",结!A38)</f>
        <v/>
      </c>
      <c r="B38" s="2" t="str">
        <f>IF(结!B38="","",结!B38)</f>
        <v/>
      </c>
      <c r="C38" s="1" t="str">
        <f>IF(结!C38="","",结!C38)</f>
        <v/>
      </c>
      <c r="D38" s="25" t="str">
        <f>IF(结!D38="","",结!D38)</f>
        <v/>
      </c>
      <c r="E38" s="26" t="str">
        <f>IF(结!E38="","",结!E38)</f>
        <v/>
      </c>
      <c r="F38" s="1" t="str">
        <f>IF(结!F38="","",结!F38)</f>
        <v/>
      </c>
      <c r="G38" s="1" t="str">
        <f>IF(结!G38="","",结!G38)</f>
        <v/>
      </c>
      <c r="H38" s="1" t="str">
        <f>IF(结!H38="","",结!H38)</f>
        <v/>
      </c>
      <c r="I38" s="1" t="str">
        <f>IF(结!I38="","",结!I38)</f>
        <v/>
      </c>
      <c r="J38" s="1" t="str">
        <f>IF(结!J38="","",结!J38)</f>
        <v/>
      </c>
      <c r="K38" s="1" t="str">
        <f>IF(结!K38="","",结!K38)</f>
        <v/>
      </c>
    </row>
    <row r="39" spans="1:11">
      <c r="A39" s="1" t="str">
        <f>IF(结!A39="","",结!A39)</f>
        <v/>
      </c>
      <c r="B39" s="2" t="str">
        <f>IF(结!B39="","",结!B39)</f>
        <v/>
      </c>
      <c r="C39" s="1" t="str">
        <f>IF(结!C39="","",结!C39)</f>
        <v/>
      </c>
      <c r="D39" s="25" t="str">
        <f>IF(结!D39="","",结!D39)</f>
        <v/>
      </c>
      <c r="E39" s="26" t="str">
        <f>IF(结!E39="","",结!E39)</f>
        <v/>
      </c>
      <c r="F39" s="1" t="str">
        <f>IF(结!F39="","",结!F39)</f>
        <v/>
      </c>
      <c r="G39" s="1" t="str">
        <f>IF(结!G39="","",结!G39)</f>
        <v/>
      </c>
      <c r="H39" s="1" t="str">
        <f>IF(结!H39="","",结!H39)</f>
        <v/>
      </c>
      <c r="I39" s="1" t="str">
        <f>IF(结!I39="","",结!I39)</f>
        <v/>
      </c>
      <c r="J39" s="1" t="str">
        <f>IF(结!J39="","",结!J39)</f>
        <v/>
      </c>
      <c r="K39" s="1" t="str">
        <f>IF(结!K39="","",结!K39)</f>
        <v/>
      </c>
    </row>
    <row r="40" spans="1:11">
      <c r="A40" s="1" t="str">
        <f>IF(结!A40="","",结!A40)</f>
        <v/>
      </c>
      <c r="B40" s="2" t="str">
        <f>IF(结!B40="","",结!B40)</f>
        <v/>
      </c>
      <c r="C40" s="1" t="str">
        <f>IF(结!C40="","",结!C40)</f>
        <v/>
      </c>
      <c r="D40" s="25" t="str">
        <f>IF(结!D40="","",结!D40)</f>
        <v/>
      </c>
      <c r="E40" s="26" t="str">
        <f>IF(结!E40="","",结!E40)</f>
        <v/>
      </c>
      <c r="F40" s="1" t="str">
        <f>IF(结!F40="","",结!F40)</f>
        <v/>
      </c>
      <c r="G40" s="1" t="str">
        <f>IF(结!G40="","",结!G40)</f>
        <v/>
      </c>
      <c r="H40" s="1" t="str">
        <f>IF(结!H40="","",结!H40)</f>
        <v/>
      </c>
      <c r="I40" s="1" t="str">
        <f>IF(结!I40="","",结!I40)</f>
        <v/>
      </c>
      <c r="J40" s="1" t="str">
        <f>IF(结!J40="","",结!J40)</f>
        <v/>
      </c>
      <c r="K40" s="1" t="str">
        <f>IF(结!K40="","",结!K40)</f>
        <v/>
      </c>
    </row>
    <row r="41" spans="1:11">
      <c r="A41" s="1" t="str">
        <f>IF(结!A41="","",结!A41)</f>
        <v/>
      </c>
      <c r="B41" s="2" t="str">
        <f>IF(结!B41="","",结!B41)</f>
        <v/>
      </c>
      <c r="C41" s="1" t="str">
        <f>IF(结!C41="","",结!C41)</f>
        <v/>
      </c>
      <c r="D41" s="25" t="str">
        <f>IF(结!D41="","",结!D41)</f>
        <v/>
      </c>
      <c r="E41" s="26" t="str">
        <f>IF(结!E41="","",结!E41)</f>
        <v/>
      </c>
      <c r="F41" s="1" t="str">
        <f>IF(结!F41="","",结!F41)</f>
        <v/>
      </c>
      <c r="G41" s="1" t="str">
        <f>IF(结!G41="","",结!G41)</f>
        <v/>
      </c>
      <c r="H41" s="1" t="str">
        <f>IF(结!H41="","",结!H41)</f>
        <v/>
      </c>
      <c r="I41" s="1" t="str">
        <f>IF(结!I41="","",结!I41)</f>
        <v/>
      </c>
      <c r="J41" s="1" t="str">
        <f>IF(结!J41="","",结!J41)</f>
        <v/>
      </c>
      <c r="K41" s="1" t="str">
        <f>IF(结!K41="","",结!K41)</f>
        <v/>
      </c>
    </row>
    <row r="42" spans="1:11">
      <c r="A42" s="1" t="str">
        <f>IF(结!A42="","",结!A42)</f>
        <v/>
      </c>
      <c r="B42" s="2" t="str">
        <f>IF(结!B42="","",结!B42)</f>
        <v/>
      </c>
      <c r="C42" s="1" t="str">
        <f>IF(结!C42="","",结!C42)</f>
        <v/>
      </c>
      <c r="D42" s="25" t="str">
        <f>IF(结!D42="","",结!D42)</f>
        <v/>
      </c>
      <c r="E42" s="26" t="str">
        <f>IF(结!E42="","",结!E42)</f>
        <v/>
      </c>
      <c r="F42" s="1" t="str">
        <f>IF(结!F42="","",结!F42)</f>
        <v/>
      </c>
      <c r="G42" s="1" t="str">
        <f>IF(结!G42="","",结!G42)</f>
        <v/>
      </c>
      <c r="H42" s="1" t="str">
        <f>IF(结!H42="","",结!H42)</f>
        <v/>
      </c>
      <c r="I42" s="1" t="str">
        <f>IF(结!I42="","",结!I42)</f>
        <v/>
      </c>
      <c r="J42" s="1" t="str">
        <f>IF(结!J42="","",结!J42)</f>
        <v/>
      </c>
      <c r="K42" s="1" t="str">
        <f>IF(结!K42="","",结!K42)</f>
        <v/>
      </c>
    </row>
    <row r="43" spans="1:11">
      <c r="A43" s="1" t="str">
        <f>IF(结!A43="","",结!A43)</f>
        <v/>
      </c>
      <c r="B43" s="2" t="str">
        <f>IF(结!B43="","",结!B43)</f>
        <v/>
      </c>
      <c r="C43" s="1" t="str">
        <f>IF(结!C43="","",结!C43)</f>
        <v/>
      </c>
      <c r="D43" s="25" t="str">
        <f>IF(结!D43="","",结!D43)</f>
        <v/>
      </c>
      <c r="E43" s="26" t="str">
        <f>IF(结!E43="","",结!E43)</f>
        <v/>
      </c>
      <c r="F43" s="1" t="str">
        <f>IF(结!F43="","",结!F43)</f>
        <v/>
      </c>
      <c r="G43" s="1" t="str">
        <f>IF(结!G43="","",结!G43)</f>
        <v/>
      </c>
      <c r="H43" s="1" t="str">
        <f>IF(结!H43="","",结!H43)</f>
        <v/>
      </c>
      <c r="I43" s="1" t="str">
        <f>IF(结!I43="","",结!I43)</f>
        <v/>
      </c>
      <c r="J43" s="1" t="str">
        <f>IF(结!J43="","",结!J43)</f>
        <v/>
      </c>
      <c r="K43" s="1" t="str">
        <f>IF(结!K43="","",结!K43)</f>
        <v/>
      </c>
    </row>
    <row r="44" spans="1:11">
      <c r="A44" s="1" t="str">
        <f>IF(结!A44="","",结!A44)</f>
        <v/>
      </c>
      <c r="B44" s="2" t="str">
        <f>IF(结!B44="","",结!B44)</f>
        <v/>
      </c>
      <c r="C44" s="1" t="str">
        <f>IF(结!C44="","",结!C44)</f>
        <v/>
      </c>
      <c r="D44" s="1" t="str">
        <f>IF(结!D44="","",结!D44)</f>
        <v/>
      </c>
      <c r="E44" s="1" t="str">
        <f>IF(结!E44="","",结!E44)</f>
        <v/>
      </c>
      <c r="F44" s="1" t="str">
        <f>IF(结!F44="","",结!F44)</f>
        <v/>
      </c>
      <c r="G44" s="1" t="str">
        <f>IF(结!G44="","",结!G44)</f>
        <v/>
      </c>
      <c r="H44" s="1" t="str">
        <f>IF(结!H44="","",结!H44)</f>
        <v/>
      </c>
      <c r="I44" s="1" t="str">
        <f>IF(结!I44="","",结!I44)</f>
        <v/>
      </c>
      <c r="J44" s="1" t="str">
        <f>IF(结!J44="","",结!J44)</f>
        <v/>
      </c>
      <c r="K44" s="1" t="str">
        <f>IF(结!K44="","",结!K44)</f>
        <v/>
      </c>
    </row>
    <row r="45" ht="22.2" spans="1:11">
      <c r="A45" s="1" t="str">
        <f>IF(结!A45="","",结!A45)</f>
        <v/>
      </c>
      <c r="B45" s="27" t="str">
        <f>IF(结!B45="","",结!B45)</f>
        <v>34 项 优 势 描 述</v>
      </c>
      <c r="C45" s="27" t="str">
        <f>IF(结!C45="","",结!C45)</f>
        <v/>
      </c>
      <c r="D45" s="27" t="str">
        <f>IF(结!D45="","",结!D45)</f>
        <v/>
      </c>
      <c r="E45" s="27" t="str">
        <f>IF(结!E45="","",结!E45)</f>
        <v/>
      </c>
      <c r="F45" s="27" t="str">
        <f>IF(结!F45="","",结!F45)</f>
        <v/>
      </c>
      <c r="G45" s="27" t="str">
        <f>IF(结!G45="","",结!G45)</f>
        <v/>
      </c>
      <c r="H45" s="27" t="str">
        <f>IF(结!H45="","",结!H45)</f>
        <v/>
      </c>
      <c r="I45" s="27" t="str">
        <f>IF(结!I45="","",结!I45)</f>
        <v/>
      </c>
      <c r="J45" s="1" t="str">
        <f>IF(结!J45="","",结!J45)</f>
        <v/>
      </c>
      <c r="K45" s="1" t="str">
        <f>IF(结!K45="","",结!K45)</f>
        <v/>
      </c>
    </row>
    <row r="46" ht="32.1" customHeight="1" spans="1:11">
      <c r="A46" s="1" t="str">
        <f>IF(结!A46="","",结!A46)</f>
        <v/>
      </c>
      <c r="B46" s="28">
        <f>IF(结!B46="","",结!B46)</f>
        <v>1</v>
      </c>
      <c r="C46" s="29" t="str">
        <f>IF(结!C46="","",结!C46)</f>
        <v>战略</v>
      </c>
      <c r="D46" s="30" t="str">
        <f>IF(结!D46="","",结!D46)</f>
        <v>战略主题较强的人足智多谋。针对不同的方案，能迅速找出相关的模式及结果。</v>
      </c>
      <c r="E46" s="30" t="str">
        <f>IF(结!E46="","",结!E46)</f>
        <v/>
      </c>
      <c r="F46" s="30" t="str">
        <f>IF(结!F46="","",结!F46)</f>
        <v/>
      </c>
      <c r="G46" s="30" t="str">
        <f>IF(结!G46="","",结!G46)</f>
        <v/>
      </c>
      <c r="H46" s="30" t="str">
        <f>IF(结!H46="","",结!H46)</f>
        <v/>
      </c>
      <c r="I46" s="32" t="str">
        <f>IF(结!I46="","",结!I46)</f>
        <v/>
      </c>
      <c r="J46" s="1" t="str">
        <f>IF(结!J46="","",结!J46)</f>
        <v/>
      </c>
      <c r="K46" s="1" t="str">
        <f>IF(结!K46="","",结!K46)</f>
        <v/>
      </c>
    </row>
    <row r="47" ht="32.1" customHeight="1" spans="1:11">
      <c r="A47" s="1" t="str">
        <f>IF(结!A47="","",结!A47)</f>
        <v/>
      </c>
      <c r="B47" s="28">
        <f>IF(结!B47="","",结!B47)</f>
        <v>2</v>
      </c>
      <c r="C47" s="29" t="str">
        <f>IF(结!C47="","",结!C47)</f>
        <v>思维</v>
      </c>
      <c r="D47" s="30" t="str">
        <f>IF(结!D47="","",结!D47)</f>
        <v>思维能力较强的人的最大特点是长于思考。他们勤于自省，敏于探讨。</v>
      </c>
      <c r="E47" s="30" t="str">
        <f>IF(结!E47="","",结!E47)</f>
        <v/>
      </c>
      <c r="F47" s="30" t="str">
        <f>IF(结!F47="","",结!F47)</f>
        <v/>
      </c>
      <c r="G47" s="30" t="str">
        <f>IF(结!G47="","",结!G47)</f>
        <v/>
      </c>
      <c r="H47" s="30" t="str">
        <f>IF(结!H47="","",结!H47)</f>
        <v/>
      </c>
      <c r="I47" s="32" t="str">
        <f>IF(结!I47="","",结!I47)</f>
        <v/>
      </c>
      <c r="J47" s="1" t="str">
        <f>IF(结!J47="","",结!J47)</f>
        <v/>
      </c>
      <c r="K47" s="1" t="str">
        <f>IF(结!K47="","",结!K47)</f>
        <v/>
      </c>
    </row>
    <row r="48" ht="32.1" customHeight="1" spans="1:11">
      <c r="A48" s="1" t="str">
        <f>IF(结!A48="","",结!A48)</f>
        <v/>
      </c>
      <c r="B48" s="28">
        <f>IF(结!B48="","",结!B48)</f>
        <v>3</v>
      </c>
      <c r="C48" s="29" t="str">
        <f>IF(结!C48="","",结!C48)</f>
        <v>理念</v>
      </c>
      <c r="D48" s="30" t="str">
        <f>IF(结!D48="","",结!D48)</f>
        <v>他们痴迷于各种理念，能够从貌似毫无关联的现象中找出其相互联系。</v>
      </c>
      <c r="E48" s="30" t="str">
        <f>IF(结!E48="","",结!E48)</f>
        <v/>
      </c>
      <c r="F48" s="30" t="str">
        <f>IF(结!F48="","",结!F48)</f>
        <v/>
      </c>
      <c r="G48" s="30" t="str">
        <f>IF(结!G48="","",结!G48)</f>
        <v/>
      </c>
      <c r="H48" s="30" t="str">
        <f>IF(结!H48="","",结!H48)</f>
        <v/>
      </c>
      <c r="I48" s="32" t="str">
        <f>IF(结!I48="","",结!I48)</f>
        <v/>
      </c>
      <c r="J48" s="1" t="str">
        <f>IF(结!J48="","",结!J48)</f>
        <v/>
      </c>
      <c r="K48" s="1" t="str">
        <f>IF(结!K48="","",结!K48)</f>
        <v/>
      </c>
    </row>
    <row r="49" ht="32.1" customHeight="1" spans="1:11">
      <c r="A49" s="1" t="str">
        <f>IF(结!A49="","",结!A49)</f>
        <v/>
      </c>
      <c r="B49" s="28">
        <f>IF(结!B49="","",结!B49)</f>
        <v>4</v>
      </c>
      <c r="C49" s="29" t="str">
        <f>IF(结!C49="","",结!C49)</f>
        <v>学习</v>
      </c>
      <c r="D49" s="30" t="str">
        <f>IF(结!D49="","",结!D49)</f>
        <v>学习能力强的人有旺盛的求知欲，渴望不断提高自我。尤其令他们激动的，是求知的过程而非结果。</v>
      </c>
      <c r="E49" s="30" t="str">
        <f>IF(结!E49="","",结!E49)</f>
        <v/>
      </c>
      <c r="F49" s="30" t="str">
        <f>IF(结!F49="","",结!F49)</f>
        <v/>
      </c>
      <c r="G49" s="30" t="str">
        <f>IF(结!G49="","",结!G49)</f>
        <v/>
      </c>
      <c r="H49" s="30" t="str">
        <f>IF(结!H49="","",结!H49)</f>
        <v/>
      </c>
      <c r="I49" s="32" t="str">
        <f>IF(结!I49="","",结!I49)</f>
        <v/>
      </c>
      <c r="J49" s="1" t="str">
        <f>IF(结!J49="","",结!J49)</f>
        <v/>
      </c>
      <c r="K49" s="1" t="str">
        <f>IF(结!K49="","",结!K49)</f>
        <v/>
      </c>
    </row>
    <row r="50" ht="32.1" customHeight="1" spans="1:11">
      <c r="A50" s="1" t="str">
        <f>IF(结!A50="","",结!A50)</f>
        <v/>
      </c>
      <c r="B50" s="28">
        <f>IF(结!B50="","",结!B50)</f>
        <v>5</v>
      </c>
      <c r="C50" s="29" t="str">
        <f>IF(结!C50="","",结!C50)</f>
        <v>前瞻</v>
      </c>
      <c r="D50" s="30" t="str">
        <f>IF(结!D50="","",结!D50)</f>
        <v>对于有较强前瞻力的人而言，未来令人心潮澎湃。他们用对未来的憧憬激励周围的人。</v>
      </c>
      <c r="E50" s="30" t="str">
        <f>IF(结!E50="","",结!E50)</f>
        <v/>
      </c>
      <c r="F50" s="30" t="str">
        <f>IF(结!F50="","",结!F50)</f>
        <v/>
      </c>
      <c r="G50" s="30" t="str">
        <f>IF(结!G50="","",结!G50)</f>
        <v/>
      </c>
      <c r="H50" s="30" t="str">
        <f>IF(结!H50="","",结!H50)</f>
        <v/>
      </c>
      <c r="I50" s="32" t="str">
        <f>IF(结!I50="","",结!I50)</f>
        <v/>
      </c>
      <c r="J50" s="1" t="str">
        <f>IF(结!J50="","",结!J50)</f>
        <v/>
      </c>
      <c r="K50" s="1" t="str">
        <f>IF(结!K50="","",结!K50)</f>
        <v/>
      </c>
    </row>
    <row r="51" ht="32.1" customHeight="1" spans="1:11">
      <c r="A51" s="1" t="str">
        <f>IF(结!A51="","",结!A51)</f>
        <v/>
      </c>
      <c r="B51" s="28">
        <f>IF(结!B51="","",结!B51)</f>
        <v>6</v>
      </c>
      <c r="C51" s="29" t="str">
        <f>IF(结!C51="","",结!C51)</f>
        <v>统率</v>
      </c>
      <c r="D51" s="30" t="str">
        <f>IF(结!D51="","",结!D51)</f>
        <v>统率力强的人有大将风度。他们运筹帷幄，指挥若定。</v>
      </c>
      <c r="E51" s="30" t="str">
        <f>IF(结!E51="","",结!E51)</f>
        <v/>
      </c>
      <c r="F51" s="30" t="str">
        <f>IF(结!F51="","",结!F51)</f>
        <v/>
      </c>
      <c r="G51" s="30" t="str">
        <f>IF(结!G51="","",结!G51)</f>
        <v/>
      </c>
      <c r="H51" s="30" t="str">
        <f>IF(结!H51="","",结!H51)</f>
        <v/>
      </c>
      <c r="I51" s="32" t="str">
        <f>IF(结!I51="","",结!I51)</f>
        <v/>
      </c>
      <c r="J51" s="1" t="str">
        <f>IF(结!J51="","",结!J51)</f>
        <v/>
      </c>
      <c r="K51" s="1" t="str">
        <f>IF(结!K51="","",结!K51)</f>
        <v/>
      </c>
    </row>
    <row r="52" ht="32.1" customHeight="1" spans="1:11">
      <c r="A52" s="1" t="str">
        <f>IF(结!A52="","",结!A52)</f>
        <v/>
      </c>
      <c r="B52" s="28">
        <f>IF(结!B52="","",结!B52)</f>
        <v>7</v>
      </c>
      <c r="C52" s="29" t="str">
        <f>IF(结!C52="","",结!C52)</f>
        <v>统筹</v>
      </c>
      <c r="D52" s="30" t="str">
        <f>IF(结!D52="","",结!D52)</f>
        <v>统筹力强的人兼具组织能力及确保组织成功的灵活性。他们善于合理安排现有资源以实现最大功效。</v>
      </c>
      <c r="E52" s="30" t="str">
        <f>IF(结!E52="","",结!E52)</f>
        <v/>
      </c>
      <c r="F52" s="30" t="str">
        <f>IF(结!F52="","",结!F52)</f>
        <v/>
      </c>
      <c r="G52" s="30" t="str">
        <f>IF(结!G52="","",结!G52)</f>
        <v/>
      </c>
      <c r="H52" s="30" t="str">
        <f>IF(结!H52="","",结!H52)</f>
        <v/>
      </c>
      <c r="I52" s="32" t="str">
        <f>IF(结!I52="","",结!I52)</f>
        <v/>
      </c>
      <c r="J52" s="1" t="str">
        <f>IF(结!J52="","",结!J52)</f>
        <v/>
      </c>
      <c r="K52" s="1" t="str">
        <f>IF(结!K52="","",结!K52)</f>
        <v/>
      </c>
    </row>
    <row r="53" ht="32.1" customHeight="1" spans="1:11">
      <c r="A53" s="1" t="str">
        <f>IF(结!A53="","",结!A53)</f>
        <v/>
      </c>
      <c r="B53" s="28">
        <f>IF(结!B53="","",结!B53)</f>
        <v>8</v>
      </c>
      <c r="C53" s="29" t="str">
        <f>IF(结!C53="","",结!C53)</f>
        <v>分析</v>
      </c>
      <c r="D53" s="30" t="str">
        <f>IF(结!D53="","",结!D53)</f>
        <v>分析能力强的人喜欢探究事物的来龙去脉。他们有能力思考可能影响局面的诸多因素。</v>
      </c>
      <c r="E53" s="30" t="str">
        <f>IF(结!E53="","",结!E53)</f>
        <v/>
      </c>
      <c r="F53" s="30" t="str">
        <f>IF(结!F53="","",结!F53)</f>
        <v/>
      </c>
      <c r="G53" s="30" t="str">
        <f>IF(结!G53="","",结!G53)</f>
        <v/>
      </c>
      <c r="H53" s="30" t="str">
        <f>IF(结!H53="","",结!H53)</f>
        <v/>
      </c>
      <c r="I53" s="32" t="str">
        <f>IF(结!I53="","",结!I53)</f>
        <v/>
      </c>
      <c r="J53" s="1" t="str">
        <f>IF(结!J53="","",结!J53)</f>
        <v/>
      </c>
      <c r="K53" s="1" t="str">
        <f>IF(结!K53="","",结!K53)</f>
        <v/>
      </c>
    </row>
    <row r="54" ht="32.1" customHeight="1" spans="1:11">
      <c r="A54" s="1" t="str">
        <f>IF(结!A54="","",结!A54)</f>
        <v/>
      </c>
      <c r="B54" s="28">
        <f>IF(结!B54="","",结!B54)</f>
        <v>9</v>
      </c>
      <c r="C54" s="29" t="str">
        <f>IF(结!C54="","",结!C54)</f>
        <v>排难</v>
      </c>
      <c r="D54" s="30" t="str">
        <f>IF(结!D54="","",结!D54)</f>
        <v>排除故障的行家里手善于发现问题并解决问题。</v>
      </c>
      <c r="E54" s="30" t="str">
        <f>IF(结!E54="","",结!E54)</f>
        <v/>
      </c>
      <c r="F54" s="30" t="str">
        <f>IF(结!F54="","",结!F54)</f>
        <v/>
      </c>
      <c r="G54" s="30" t="str">
        <f>IF(结!G54="","",结!G54)</f>
        <v/>
      </c>
      <c r="H54" s="30" t="str">
        <f>IF(结!H54="","",结!H54)</f>
        <v/>
      </c>
      <c r="I54" s="32" t="str">
        <f>IF(结!I54="","",结!I54)</f>
        <v/>
      </c>
      <c r="J54" s="1" t="str">
        <f>IF(结!J54="","",结!J54)</f>
        <v/>
      </c>
      <c r="K54" s="1" t="str">
        <f>IF(结!K54="","",结!K54)</f>
        <v/>
      </c>
    </row>
    <row r="55" ht="32.1" customHeight="1" spans="1:11">
      <c r="A55" s="1" t="str">
        <f>IF(结!A55="","",结!A55)</f>
        <v/>
      </c>
      <c r="B55" s="28">
        <f>IF(结!B55="","",结!B55)</f>
        <v>10</v>
      </c>
      <c r="C55" s="29" t="str">
        <f>IF(结!C55="","",结!C55)</f>
        <v>成就</v>
      </c>
      <c r="D55" s="30" t="str">
        <f>IF(结!D55="","",结!D55)</f>
        <v>成就主题较强的人大都精力充沛，锲而不舍。他们乐于忙忙碌碌并有所作为。</v>
      </c>
      <c r="E55" s="30" t="str">
        <f>IF(结!E55="","",结!E55)</f>
        <v/>
      </c>
      <c r="F55" s="30" t="str">
        <f>IF(结!F55="","",结!F55)</f>
        <v/>
      </c>
      <c r="G55" s="30" t="str">
        <f>IF(结!G55="","",结!G55)</f>
        <v/>
      </c>
      <c r="H55" s="30" t="str">
        <f>IF(结!H55="","",结!H55)</f>
        <v/>
      </c>
      <c r="I55" s="32" t="str">
        <f>IF(结!I55="","",结!I55)</f>
        <v/>
      </c>
      <c r="J55" s="1" t="str">
        <f>IF(结!J55="","",结!J55)</f>
        <v/>
      </c>
      <c r="K55" s="1" t="str">
        <f>IF(结!K55="","",结!K55)</f>
        <v/>
      </c>
    </row>
    <row r="56" ht="32.1" customHeight="1" spans="1:11">
      <c r="A56" s="1" t="str">
        <f>IF(结!A56="","",结!A56)</f>
        <v/>
      </c>
      <c r="B56" s="28">
        <f>IF(结!B56="","",结!B56)</f>
        <v>11</v>
      </c>
      <c r="C56" s="29" t="str">
        <f>IF(结!C56="","",结!C56)</f>
        <v>审慎</v>
      </c>
      <c r="D56" s="30" t="str">
        <f>IF(结!D56="","",结!D56)</f>
        <v>他们每做一个决定均慎之又慎，并设想所有的困难。</v>
      </c>
      <c r="E56" s="30" t="str">
        <f>IF(结!E56="","",结!E56)</f>
        <v/>
      </c>
      <c r="F56" s="30" t="str">
        <f>IF(结!F56="","",结!F56)</f>
        <v/>
      </c>
      <c r="G56" s="30" t="str">
        <f>IF(结!G56="","",结!G56)</f>
        <v/>
      </c>
      <c r="H56" s="30" t="str">
        <f>IF(结!H56="","",结!H56)</f>
        <v/>
      </c>
      <c r="I56" s="32" t="str">
        <f>IF(结!I56="","",结!I56)</f>
        <v/>
      </c>
      <c r="J56" s="1" t="str">
        <f>IF(结!J56="","",结!J56)</f>
        <v/>
      </c>
      <c r="K56" s="1" t="str">
        <f>IF(结!K56="","",结!K56)</f>
        <v/>
      </c>
    </row>
    <row r="57" ht="32.1" customHeight="1" spans="1:11">
      <c r="A57" s="1" t="str">
        <f>IF(结!A57="","",结!A57)</f>
        <v/>
      </c>
      <c r="B57" s="28">
        <f>IF(结!B57="","",结!B57)</f>
        <v>12</v>
      </c>
      <c r="C57" s="29" t="str">
        <f>IF(结!C57="","",结!C57)</f>
        <v>责任</v>
      </c>
      <c r="D57" s="30" t="str">
        <f>IF(结!D57="","",结!D57)</f>
        <v>责任心强的人言必有信。他们信奉的价值观是诚实、忠诚。</v>
      </c>
      <c r="E57" s="30" t="str">
        <f>IF(结!E57="","",结!E57)</f>
        <v/>
      </c>
      <c r="F57" s="30" t="str">
        <f>IF(结!F57="","",结!F57)</f>
        <v/>
      </c>
      <c r="G57" s="30" t="str">
        <f>IF(结!G57="","",结!G57)</f>
        <v/>
      </c>
      <c r="H57" s="30" t="str">
        <f>IF(结!H57="","",结!H57)</f>
        <v/>
      </c>
      <c r="I57" s="32" t="str">
        <f>IF(结!I57="","",结!I57)</f>
        <v/>
      </c>
      <c r="J57" s="1" t="str">
        <f>IF(结!J57="","",结!J57)</f>
        <v/>
      </c>
      <c r="K57" s="1" t="str">
        <f>IF(结!K57="","",结!K57)</f>
        <v/>
      </c>
    </row>
    <row r="58" ht="32.1" customHeight="1" spans="1:11">
      <c r="A58" s="1" t="str">
        <f>IF(结!A58="","",结!A58)</f>
        <v/>
      </c>
      <c r="B58" s="28">
        <f>IF(结!B58="","",结!B58)</f>
        <v>13</v>
      </c>
      <c r="C58" s="29" t="str">
        <f>IF(结!C58="","",结!C58)</f>
        <v>自信</v>
      </c>
      <c r="D58" s="30" t="str">
        <f>IF(结!D58="","",结!D58)</f>
        <v>自信心强的人对自身的能力充满信心。他们有自己的处世准则，做决定时成竹在胸。</v>
      </c>
      <c r="E58" s="30" t="str">
        <f>IF(结!E58="","",结!E58)</f>
        <v/>
      </c>
      <c r="F58" s="30" t="str">
        <f>IF(结!F58="","",结!F58)</f>
        <v/>
      </c>
      <c r="G58" s="30" t="str">
        <f>IF(结!G58="","",结!G58)</f>
        <v/>
      </c>
      <c r="H58" s="30" t="str">
        <f>IF(结!H58="","",结!H58)</f>
        <v/>
      </c>
      <c r="I58" s="32" t="str">
        <f>IF(结!I58="","",结!I58)</f>
        <v/>
      </c>
      <c r="J58" s="1" t="str">
        <f>IF(结!J58="","",结!J58)</f>
        <v/>
      </c>
      <c r="K58" s="1" t="str">
        <f>IF(结!K58="","",结!K58)</f>
        <v/>
      </c>
    </row>
    <row r="59" ht="32.1" customHeight="1" spans="1:11">
      <c r="A59" s="1" t="str">
        <f>IF(结!A59="","",结!A59)</f>
        <v/>
      </c>
      <c r="B59" s="28">
        <f>IF(结!B59="","",结!B59)</f>
        <v>14</v>
      </c>
      <c r="C59" s="29" t="str">
        <f>IF(结!C59="","",结!C59)</f>
        <v>追求</v>
      </c>
      <c r="D59" s="30" t="str">
        <f>IF(结!D59="","",结!D59)</f>
        <v>追求主题较强的人希望在别人的眼中非同凡响。他们独立性强，渴望被承认。</v>
      </c>
      <c r="E59" s="30" t="str">
        <f>IF(结!E59="","",结!E59)</f>
        <v/>
      </c>
      <c r="F59" s="30" t="str">
        <f>IF(结!F59="","",结!F59)</f>
        <v/>
      </c>
      <c r="G59" s="30" t="str">
        <f>IF(结!G59="","",结!G59)</f>
        <v/>
      </c>
      <c r="H59" s="30" t="str">
        <f>IF(结!H59="","",结!H59)</f>
        <v/>
      </c>
      <c r="I59" s="32" t="str">
        <f>IF(结!I59="","",结!I59)</f>
        <v/>
      </c>
      <c r="J59" s="1" t="str">
        <f>IF(结!J59="","",结!J59)</f>
        <v/>
      </c>
      <c r="K59" s="1" t="str">
        <f>IF(结!K59="","",结!K59)</f>
        <v/>
      </c>
    </row>
    <row r="60" ht="32.1" customHeight="1" spans="1:11">
      <c r="A60" s="1" t="str">
        <f>IF(结!A60="","",结!A60)</f>
        <v/>
      </c>
      <c r="B60" s="28">
        <f>IF(结!B60="","",结!B60)</f>
        <v>15</v>
      </c>
      <c r="C60" s="29" t="str">
        <f>IF(结!C60="","",结!C60)</f>
        <v>信仰</v>
      </c>
      <c r="D60" s="30" t="str">
        <f>IF(结!D60="","",结!D60)</f>
        <v>有强烈信仰的人必定拥有某种经久不变的核心价值观，并由此形成明确的生活目标。</v>
      </c>
      <c r="E60" s="30" t="str">
        <f>IF(结!E60="","",结!E60)</f>
        <v/>
      </c>
      <c r="F60" s="30" t="str">
        <f>IF(结!F60="","",结!F60)</f>
        <v/>
      </c>
      <c r="G60" s="30" t="str">
        <f>IF(结!G60="","",结!G60)</f>
        <v/>
      </c>
      <c r="H60" s="30" t="str">
        <f>IF(结!H60="","",结!H60)</f>
        <v/>
      </c>
      <c r="I60" s="32" t="str">
        <f>IF(结!I60="","",结!I60)</f>
        <v/>
      </c>
      <c r="J60" s="1" t="str">
        <f>IF(结!J60="","",结!J60)</f>
        <v/>
      </c>
      <c r="K60" s="1" t="str">
        <f>IF(结!K60="","",结!K60)</f>
        <v/>
      </c>
    </row>
    <row r="61" ht="32.1" customHeight="1" spans="1:11">
      <c r="A61" s="1" t="str">
        <f>IF(结!A61="","",结!A61)</f>
        <v/>
      </c>
      <c r="B61" s="28">
        <f>IF(结!B61="","",结!B61)</f>
        <v>16</v>
      </c>
      <c r="C61" s="29" t="str">
        <f>IF(结!C61="","",结!C61)</f>
        <v>专注</v>
      </c>
      <c r="D61" s="30" t="str">
        <f>IF(结!D61="","",结!D61)</f>
        <v>专注力强的人能够确定方向，贯彻始终，及时调整，矢志不渝。他们先确定重点，再着手行动。</v>
      </c>
      <c r="E61" s="30" t="str">
        <f>IF(结!E61="","",结!E61)</f>
        <v/>
      </c>
      <c r="F61" s="30" t="str">
        <f>IF(结!F61="","",结!F61)</f>
        <v/>
      </c>
      <c r="G61" s="30" t="str">
        <f>IF(结!G61="","",结!G61)</f>
        <v/>
      </c>
      <c r="H61" s="30" t="str">
        <f>IF(结!H61="","",结!H61)</f>
        <v/>
      </c>
      <c r="I61" s="32" t="str">
        <f>IF(结!I61="","",结!I61)</f>
        <v/>
      </c>
      <c r="J61" s="1" t="str">
        <f>IF(结!J61="","",结!J61)</f>
        <v/>
      </c>
      <c r="K61" s="1" t="str">
        <f>IF(结!K61="","",结!K61)</f>
        <v/>
      </c>
    </row>
    <row r="62" ht="32.1" customHeight="1" spans="1:11">
      <c r="A62" s="1" t="str">
        <f>IF(结!A62="","",结!A62)</f>
        <v/>
      </c>
      <c r="B62" s="28">
        <f>IF(结!B62="","",结!B62)</f>
        <v>17</v>
      </c>
      <c r="C62" s="29" t="str">
        <f>IF(结!C62="","",结!C62)</f>
        <v>伯乐</v>
      </c>
      <c r="D62" s="30" t="str">
        <f>IF(结!D62="","",结!D62)</f>
        <v>他们善于赏识并发掘他人的潜能。他们能够察觉任何细微的进步，并乐在其中。</v>
      </c>
      <c r="E62" s="30" t="str">
        <f>IF(结!E62="","",结!E62)</f>
        <v/>
      </c>
      <c r="F62" s="30" t="str">
        <f>IF(结!F62="","",结!F62)</f>
        <v/>
      </c>
      <c r="G62" s="30" t="str">
        <f>IF(结!G62="","",结!G62)</f>
        <v/>
      </c>
      <c r="H62" s="30" t="str">
        <f>IF(结!H62="","",结!H62)</f>
        <v/>
      </c>
      <c r="I62" s="32" t="str">
        <f>IF(结!I62="","",结!I62)</f>
        <v/>
      </c>
      <c r="J62" s="1" t="str">
        <f>IF(结!J62="","",结!J62)</f>
        <v/>
      </c>
      <c r="K62" s="1" t="str">
        <f>IF(结!K62="","",结!K62)</f>
        <v/>
      </c>
    </row>
    <row r="63" ht="32.1" customHeight="1" spans="1:11">
      <c r="A63" s="1" t="str">
        <f>IF(结!A63="","",结!A63)</f>
        <v/>
      </c>
      <c r="B63" s="28">
        <f>IF(结!B63="","",结!B63)</f>
        <v>18</v>
      </c>
      <c r="C63" s="29" t="str">
        <f>IF(结!C63="","",结!C63)</f>
        <v>个别</v>
      </c>
      <c r="D63" s="30" t="str">
        <f>IF(结!D63="","",结!D63)</f>
        <v>个别主题较强的人对每个人的与众不同之处兴趣盎然。他们善于琢磨如何将个性迥异的人组合在一起，创造出最大成效。</v>
      </c>
      <c r="E63" s="30" t="str">
        <f>IF(结!E63="","",结!E63)</f>
        <v/>
      </c>
      <c r="F63" s="30" t="str">
        <f>IF(结!F63="","",结!F63)</f>
        <v/>
      </c>
      <c r="G63" s="30" t="str">
        <f>IF(结!G63="","",结!G63)</f>
        <v/>
      </c>
      <c r="H63" s="30" t="str">
        <f>IF(结!H63="","",结!H63)</f>
        <v/>
      </c>
      <c r="I63" s="32" t="str">
        <f>IF(结!I63="","",结!I63)</f>
        <v/>
      </c>
      <c r="J63" s="1" t="str">
        <f>IF(结!J63="","",结!J63)</f>
        <v/>
      </c>
      <c r="K63" s="1" t="str">
        <f>IF(结!K63="","",结!K63)</f>
        <v/>
      </c>
    </row>
    <row r="64" ht="32.1" customHeight="1" spans="1:11">
      <c r="A64" s="1" t="str">
        <f>IF(结!A64="","",结!A64)</f>
        <v/>
      </c>
      <c r="B64" s="28">
        <f>IF(结!B64="","",结!B64)</f>
        <v>19</v>
      </c>
      <c r="C64" s="29" t="str">
        <f>IF(结!C64="","",结!C64)</f>
        <v>纪律</v>
      </c>
      <c r="D64" s="30" t="str">
        <f>IF(结!D64="","",结!D64)</f>
        <v>纪律性强的人做事井然有序，有章有法。他们建立规程，遵章守纪。</v>
      </c>
      <c r="E64" s="30" t="str">
        <f>IF(结!E64="","",结!E64)</f>
        <v/>
      </c>
      <c r="F64" s="30" t="str">
        <f>IF(结!F64="","",结!F64)</f>
        <v/>
      </c>
      <c r="G64" s="30" t="str">
        <f>IF(结!G64="","",结!G64)</f>
        <v/>
      </c>
      <c r="H64" s="30" t="str">
        <f>IF(结!H64="","",结!H64)</f>
        <v/>
      </c>
      <c r="I64" s="32" t="str">
        <f>IF(结!I64="","",结!I64)</f>
        <v/>
      </c>
      <c r="J64" s="1" t="str">
        <f>IF(结!J64="","",结!J64)</f>
        <v/>
      </c>
      <c r="K64" s="1" t="str">
        <f>IF(结!K64="","",结!K64)</f>
        <v/>
      </c>
    </row>
    <row r="65" ht="32.1" customHeight="1" spans="1:11">
      <c r="A65" s="1" t="str">
        <f>IF(结!A65="","",结!A65)</f>
        <v/>
      </c>
      <c r="B65" s="28">
        <f>IF(结!B65="","",结!B65)</f>
        <v>20</v>
      </c>
      <c r="C65" s="29" t="str">
        <f>IF(结!C65="","",结!C65)</f>
        <v>竞争</v>
      </c>
      <c r="D65" s="30" t="str">
        <f>IF(结!D65="","",结!D65)</f>
        <v>竞争性强的人参照他人的表现来衡量自身的进步。他们力争第一，陶醉于竞争的喜悦中。</v>
      </c>
      <c r="E65" s="30" t="str">
        <f>IF(结!E65="","",结!E65)</f>
        <v/>
      </c>
      <c r="F65" s="30" t="str">
        <f>IF(结!F65="","",结!F65)</f>
        <v/>
      </c>
      <c r="G65" s="30" t="str">
        <f>IF(结!G65="","",结!G65)</f>
        <v/>
      </c>
      <c r="H65" s="30" t="str">
        <f>IF(结!H65="","",结!H65)</f>
        <v/>
      </c>
      <c r="I65" s="32" t="str">
        <f>IF(结!I65="","",结!I65)</f>
        <v/>
      </c>
      <c r="J65" s="1" t="str">
        <f>IF(结!J65="","",结!J65)</f>
        <v/>
      </c>
      <c r="K65" s="1" t="str">
        <f>IF(结!K65="","",结!K65)</f>
        <v/>
      </c>
    </row>
    <row r="66" ht="32.1" customHeight="1" spans="1:11">
      <c r="A66" s="1" t="str">
        <f>IF(结!A66="","",结!A66)</f>
        <v/>
      </c>
      <c r="B66" s="28">
        <f>IF(结!B66="","",结!B66)</f>
        <v>21</v>
      </c>
      <c r="C66" s="29" t="str">
        <f>IF(结!C66="","",结!C66)</f>
        <v>适应</v>
      </c>
      <c r="D66" s="30" t="str">
        <f>IF(结!D66="","",结!D66)</f>
        <v>适应性强的人倾向于“随大流”。他们活在“当前”，接受现实，随遇而安。</v>
      </c>
      <c r="E66" s="30" t="str">
        <f>IF(结!E66="","",结!E66)</f>
        <v/>
      </c>
      <c r="F66" s="30" t="str">
        <f>IF(结!F66="","",结!F66)</f>
        <v/>
      </c>
      <c r="G66" s="30" t="str">
        <f>IF(结!G66="","",结!G66)</f>
        <v/>
      </c>
      <c r="H66" s="30" t="str">
        <f>IF(结!H66="","",结!H66)</f>
        <v/>
      </c>
      <c r="I66" s="32" t="str">
        <f>IF(结!I66="","",结!I66)</f>
        <v/>
      </c>
      <c r="J66" s="1" t="str">
        <f>IF(结!J66="","",结!J66)</f>
        <v/>
      </c>
      <c r="K66" s="1" t="str">
        <f>IF(结!K66="","",结!K66)</f>
        <v/>
      </c>
    </row>
    <row r="67" ht="32.1" customHeight="1" spans="1:11">
      <c r="A67" s="1" t="str">
        <f>IF(结!A67="","",结!A67)</f>
        <v/>
      </c>
      <c r="B67" s="28">
        <f>IF(结!B67="","",结!B67)</f>
        <v>22</v>
      </c>
      <c r="C67" s="29" t="str">
        <f>IF(结!C67="","",结!C67)</f>
        <v>回顾</v>
      </c>
      <c r="D67" s="30" t="str">
        <f>IF(结!D67="","",结!D67)</f>
        <v>回顾主题较强的人喜欢追溯从前。他们通过揣摩过去来了解当前。</v>
      </c>
      <c r="E67" s="30" t="str">
        <f>IF(结!E67="","",结!E67)</f>
        <v/>
      </c>
      <c r="F67" s="30" t="str">
        <f>IF(结!F67="","",结!F67)</f>
        <v/>
      </c>
      <c r="G67" s="30" t="str">
        <f>IF(结!G67="","",结!G67)</f>
        <v/>
      </c>
      <c r="H67" s="30" t="str">
        <f>IF(结!H67="","",结!H67)</f>
        <v/>
      </c>
      <c r="I67" s="32" t="str">
        <f>IF(结!I67="","",结!I67)</f>
        <v/>
      </c>
      <c r="J67" s="1" t="str">
        <f>IF(结!J67="","",结!J67)</f>
        <v/>
      </c>
      <c r="K67" s="1" t="str">
        <f>IF(结!K67="","",结!K67)</f>
        <v/>
      </c>
    </row>
    <row r="68" ht="32.1" customHeight="1" spans="1:11">
      <c r="A68" s="1" t="str">
        <f>IF(结!A68="","",结!A68)</f>
        <v/>
      </c>
      <c r="B68" s="28">
        <f>IF(结!B68="","",结!B68)</f>
        <v>23</v>
      </c>
      <c r="C68" s="29" t="str">
        <f>IF(结!C68="","",结!C68)</f>
        <v>完美</v>
      </c>
      <c r="D68" s="30" t="str">
        <f>IF(结!D68="","",结!D68)</f>
        <v>完美主题较强的人专注于激励个人和团体追求卓越。他们相信强中自有强中手。</v>
      </c>
      <c r="E68" s="30" t="str">
        <f>IF(结!E68="","",结!E68)</f>
        <v/>
      </c>
      <c r="F68" s="30" t="str">
        <f>IF(结!F68="","",结!F68)</f>
        <v/>
      </c>
      <c r="G68" s="30" t="str">
        <f>IF(结!G68="","",结!G68)</f>
        <v/>
      </c>
      <c r="H68" s="30" t="str">
        <f>IF(结!H68="","",结!H68)</f>
        <v/>
      </c>
      <c r="I68" s="32" t="str">
        <f>IF(结!I68="","",结!I68)</f>
        <v/>
      </c>
      <c r="J68" s="1" t="str">
        <f>IF(结!J68="","",结!J68)</f>
        <v/>
      </c>
      <c r="K68" s="1" t="str">
        <f>IF(结!K68="","",结!K68)</f>
        <v/>
      </c>
    </row>
    <row r="69" ht="32.1" customHeight="1" spans="1:11">
      <c r="A69" s="1" t="str">
        <f>IF(结!A69="","",结!A69)</f>
        <v/>
      </c>
      <c r="B69" s="28">
        <f>IF(结!B69="","",结!B69)</f>
        <v>24</v>
      </c>
      <c r="C69" s="29" t="str">
        <f>IF(结!C69="","",结!C69)</f>
        <v>搜集</v>
      </c>
      <c r="D69" s="30" t="str">
        <f>IF(结!D69="","",结!D69)</f>
        <v>搜集主题较强的人充满好奇。他们通常喜欢搜集、整理各种各样的信息。</v>
      </c>
      <c r="E69" s="30" t="str">
        <f>IF(结!E69="","",结!E69)</f>
        <v/>
      </c>
      <c r="F69" s="30" t="str">
        <f>IF(结!F69="","",结!F69)</f>
        <v/>
      </c>
      <c r="G69" s="30" t="str">
        <f>IF(结!G69="","",结!G69)</f>
        <v/>
      </c>
      <c r="H69" s="30" t="str">
        <f>IF(结!H69="","",结!H69)</f>
        <v/>
      </c>
      <c r="I69" s="32" t="str">
        <f>IF(结!I69="","",结!I69)</f>
        <v/>
      </c>
      <c r="J69" s="1" t="str">
        <f>IF(结!J69="","",结!J69)</f>
        <v/>
      </c>
      <c r="K69" s="1" t="str">
        <f>IF(结!K69="","",结!K69)</f>
        <v/>
      </c>
    </row>
    <row r="70" ht="32.1" customHeight="1" spans="1:11">
      <c r="A70" s="1" t="str">
        <f>IF(结!A70="","",结!A70)</f>
        <v/>
      </c>
      <c r="B70" s="28">
        <f>IF(结!B70="","",结!B70)</f>
        <v>25</v>
      </c>
      <c r="C70" s="29" t="str">
        <f>IF(结!C70="","",结!C70)</f>
        <v>公平</v>
      </c>
      <c r="D70" s="30" t="str">
        <f>IF(结!D70="","",结!D70)</f>
        <v>公平心强的人深知应平等待人。他们确立并坚持这一准则，即公平地对待每一个人。</v>
      </c>
      <c r="E70" s="30" t="str">
        <f>IF(结!E70="","",结!E70)</f>
        <v/>
      </c>
      <c r="F70" s="30" t="str">
        <f>IF(结!F70="","",结!F70)</f>
        <v/>
      </c>
      <c r="G70" s="30" t="str">
        <f>IF(结!G70="","",结!G70)</f>
        <v/>
      </c>
      <c r="H70" s="30" t="str">
        <f>IF(结!H70="","",结!H70)</f>
        <v/>
      </c>
      <c r="I70" s="32" t="str">
        <f>IF(结!I70="","",结!I70)</f>
        <v/>
      </c>
      <c r="J70" s="1" t="str">
        <f>IF(结!J70="","",结!J70)</f>
        <v/>
      </c>
      <c r="K70" s="1" t="str">
        <f>IF(结!K70="","",结!K70)</f>
        <v/>
      </c>
    </row>
    <row r="71" ht="32.1" customHeight="1" spans="1:11">
      <c r="A71" s="1" t="str">
        <f>IF(结!A71="","",结!A71)</f>
        <v/>
      </c>
      <c r="B71" s="28">
        <f>IF(结!B71="","",结!B71)</f>
        <v>26</v>
      </c>
      <c r="C71" s="29" t="str">
        <f>IF(结!C71="","",结!C71)</f>
        <v>体谅</v>
      </c>
      <c r="D71" s="30" t="str">
        <f>IF(结!D71="","",结!D71)</f>
        <v>他们能够设身处地地体会他人的情感。</v>
      </c>
      <c r="E71" s="30" t="str">
        <f>IF(结!E71="","",结!E71)</f>
        <v/>
      </c>
      <c r="F71" s="30" t="str">
        <f>IF(结!F71="","",结!F71)</f>
        <v/>
      </c>
      <c r="G71" s="30" t="str">
        <f>IF(结!G71="","",结!G71)</f>
        <v/>
      </c>
      <c r="H71" s="30" t="str">
        <f>IF(结!H71="","",结!H71)</f>
        <v/>
      </c>
      <c r="I71" s="32" t="str">
        <f>IF(结!I71="","",结!I71)</f>
        <v/>
      </c>
      <c r="J71" s="1" t="str">
        <f>IF(结!J71="","",结!J71)</f>
        <v/>
      </c>
      <c r="K71" s="1" t="str">
        <f>IF(结!K71="","",结!K71)</f>
        <v/>
      </c>
    </row>
    <row r="72" ht="32.1" customHeight="1" spans="1:11">
      <c r="A72" s="1" t="str">
        <f>IF(结!A72="","",结!A72)</f>
        <v/>
      </c>
      <c r="B72" s="28">
        <f>IF(结!B72="","",结!B72)</f>
        <v>27</v>
      </c>
      <c r="C72" s="29" t="str">
        <f>IF(结!C72="","",结!C72)</f>
        <v>交往</v>
      </c>
      <c r="D72" s="30" t="str">
        <f>IF(结!D72="","",结!D72)</f>
        <v>交往能力强的人喜欢人际间的亲密关系。他们最大的满足是与朋友一道为实现一个目标而同舟共济。</v>
      </c>
      <c r="E72" s="30" t="str">
        <f>IF(结!E72="","",结!E72)</f>
        <v/>
      </c>
      <c r="F72" s="30" t="str">
        <f>IF(结!F72="","",结!F72)</f>
        <v/>
      </c>
      <c r="G72" s="30" t="str">
        <f>IF(结!G72="","",结!G72)</f>
        <v/>
      </c>
      <c r="H72" s="30" t="str">
        <f>IF(结!H72="","",结!H72)</f>
        <v/>
      </c>
      <c r="I72" s="32" t="str">
        <f>IF(结!I72="","",结!I72)</f>
        <v/>
      </c>
      <c r="J72" s="1" t="str">
        <f>IF(结!J72="","",结!J72)</f>
        <v/>
      </c>
      <c r="K72" s="1" t="str">
        <f>IF(结!K72="","",结!K72)</f>
        <v/>
      </c>
    </row>
    <row r="73" ht="32.1" customHeight="1" spans="1:11">
      <c r="A73" s="1" t="str">
        <f>IF(结!A73="","",结!A73)</f>
        <v/>
      </c>
      <c r="B73" s="28">
        <f>IF(结!B73="","",结!B73)</f>
        <v>28</v>
      </c>
      <c r="C73" s="29" t="str">
        <f>IF(结!C73="","",结!C73)</f>
        <v>取悦</v>
      </c>
      <c r="D73" s="30" t="str">
        <f>IF(结!D73="","",结!D73)</f>
        <v>取悦主题较强的人喜欢结交新人并博取其欢心。能够在人际交往中打破坚冰、建立联系令他们倍感快慰。</v>
      </c>
      <c r="E73" s="30" t="str">
        <f>IF(结!E73="","",结!E73)</f>
        <v/>
      </c>
      <c r="F73" s="30" t="str">
        <f>IF(结!F73="","",结!F73)</f>
        <v/>
      </c>
      <c r="G73" s="30" t="str">
        <f>IF(结!G73="","",结!G73)</f>
        <v/>
      </c>
      <c r="H73" s="30" t="str">
        <f>IF(结!H73="","",结!H73)</f>
        <v/>
      </c>
      <c r="I73" s="32" t="str">
        <f>IF(结!I73="","",结!I73)</f>
        <v/>
      </c>
      <c r="J73" s="1" t="str">
        <f>IF(结!J73="","",结!J73)</f>
        <v/>
      </c>
      <c r="K73" s="1" t="str">
        <f>IF(结!K73="","",结!K73)</f>
        <v/>
      </c>
    </row>
    <row r="74" ht="32.1" customHeight="1" spans="1:11">
      <c r="A74" s="1" t="str">
        <f>IF(结!A74="","",结!A74)</f>
        <v/>
      </c>
      <c r="B74" s="28">
        <f>IF(结!B74="","",结!B74)</f>
        <v>29</v>
      </c>
      <c r="C74" s="29" t="str">
        <f>IF(结!C74="","",结!C74)</f>
        <v>包容</v>
      </c>
      <c r="D74" s="30" t="str">
        <f>IF(结!D74="","",结!D74)</f>
        <v>包容力强的人善于接纳人。他们关心那些被忽略的人们，并让他们溶入集体。</v>
      </c>
      <c r="E74" s="30" t="str">
        <f>IF(结!E74="","",结!E74)</f>
        <v/>
      </c>
      <c r="F74" s="30" t="str">
        <f>IF(结!F74="","",结!F74)</f>
        <v/>
      </c>
      <c r="G74" s="30" t="str">
        <f>IF(结!G74="","",结!G74)</f>
        <v/>
      </c>
      <c r="H74" s="30" t="str">
        <f>IF(结!H74="","",结!H74)</f>
        <v/>
      </c>
      <c r="I74" s="32" t="str">
        <f>IF(结!I74="","",结!I74)</f>
        <v/>
      </c>
      <c r="J74" s="1" t="str">
        <f>IF(结!J74="","",结!J74)</f>
        <v/>
      </c>
      <c r="K74" s="1" t="str">
        <f>IF(结!K74="","",结!K74)</f>
        <v/>
      </c>
    </row>
    <row r="75" ht="32.1" customHeight="1" spans="1:11">
      <c r="A75" s="1" t="str">
        <f>IF(结!A75="","",结!A75)</f>
        <v/>
      </c>
      <c r="B75" s="28">
        <f>IF(结!B75="","",结!B75)</f>
        <v>30</v>
      </c>
      <c r="C75" s="29" t="str">
        <f>IF(结!C75="","",结!C75)</f>
        <v>和谐</v>
      </c>
      <c r="D75" s="30" t="str">
        <f>IF(结!D75="","",结!D75)</f>
        <v>和谐主题较强的人渴求协调一致。他们避免冲突，寻求共识。</v>
      </c>
      <c r="E75" s="30" t="str">
        <f>IF(结!E75="","",结!E75)</f>
        <v/>
      </c>
      <c r="F75" s="30" t="str">
        <f>IF(结!F75="","",结!F75)</f>
        <v/>
      </c>
      <c r="G75" s="30" t="str">
        <f>IF(结!G75="","",结!G75)</f>
        <v/>
      </c>
      <c r="H75" s="30" t="str">
        <f>IF(结!H75="","",结!H75)</f>
        <v/>
      </c>
      <c r="I75" s="32" t="str">
        <f>IF(结!I75="","",结!I75)</f>
        <v/>
      </c>
      <c r="J75" s="1" t="str">
        <f>IF(结!J75="","",结!J75)</f>
        <v/>
      </c>
      <c r="K75" s="1" t="str">
        <f>IF(结!K75="","",结!K75)</f>
        <v/>
      </c>
    </row>
    <row r="76" ht="32.1" customHeight="1" spans="1:11">
      <c r="A76" s="1" t="str">
        <f>IF(结!A76="","",结!A76)</f>
        <v/>
      </c>
      <c r="B76" s="28">
        <f>IF(结!B76="","",结!B76)</f>
        <v>31</v>
      </c>
      <c r="C76" s="29" t="str">
        <f>IF(结!C76="","",结!C76)</f>
        <v>关联</v>
      </c>
      <c r="D76" s="30" t="str">
        <f>IF(结!D76="","",结!D76)</f>
        <v>关联主题较强的人深信世间万物都彼此关联。没有巧合，凡事必有成因。</v>
      </c>
      <c r="E76" s="30" t="str">
        <f>IF(结!E76="","",结!E76)</f>
        <v/>
      </c>
      <c r="F76" s="30" t="str">
        <f>IF(结!F76="","",结!F76)</f>
        <v/>
      </c>
      <c r="G76" s="30" t="str">
        <f>IF(结!G76="","",结!G76)</f>
        <v/>
      </c>
      <c r="H76" s="30" t="str">
        <f>IF(结!H76="","",结!H76)</f>
        <v/>
      </c>
      <c r="I76" s="32" t="str">
        <f>IF(结!I76="","",结!I76)</f>
        <v/>
      </c>
      <c r="J76" s="1" t="str">
        <f>IF(结!J76="","",结!J76)</f>
        <v/>
      </c>
      <c r="K76" s="1" t="str">
        <f>IF(结!K76="","",结!K76)</f>
        <v/>
      </c>
    </row>
    <row r="77" ht="32.1" customHeight="1" spans="1:11">
      <c r="A77" s="1" t="str">
        <f>IF(结!A77="","",结!A77)</f>
        <v/>
      </c>
      <c r="B77" s="28">
        <f>IF(结!B77="","",结!B77)</f>
        <v>32</v>
      </c>
      <c r="C77" s="29" t="str">
        <f>IF(结!C77="","",结!C77)</f>
        <v>行动</v>
      </c>
      <c r="D77" s="30" t="str">
        <f>IF(结!D77="","",结!D77)</f>
        <v>行动主题较强的人能够将想法付诸行动。他们往往缺乏耐心。</v>
      </c>
      <c r="E77" s="30" t="str">
        <f>IF(结!E77="","",结!E77)</f>
        <v/>
      </c>
      <c r="F77" s="30" t="str">
        <f>IF(结!F77="","",结!F77)</f>
        <v/>
      </c>
      <c r="G77" s="30" t="str">
        <f>IF(结!G77="","",结!G77)</f>
        <v/>
      </c>
      <c r="H77" s="30" t="str">
        <f>IF(结!H77="","",结!H77)</f>
        <v/>
      </c>
      <c r="I77" s="32" t="str">
        <f>IF(结!I77="","",结!I77)</f>
        <v/>
      </c>
      <c r="J77" s="1" t="str">
        <f>IF(结!J77="","",结!J77)</f>
        <v/>
      </c>
      <c r="K77" s="1" t="str">
        <f>IF(结!K77="","",结!K77)</f>
        <v/>
      </c>
    </row>
    <row r="78" ht="32.1" customHeight="1" spans="1:11">
      <c r="A78" s="1" t="str">
        <f>IF(结!A78="","",结!A78)</f>
        <v/>
      </c>
      <c r="B78" s="28">
        <f>IF(结!B78="","",结!B78)</f>
        <v>33</v>
      </c>
      <c r="C78" s="29" t="str">
        <f>IF(结!C78="","",结!C78)</f>
        <v>沟通</v>
      </c>
      <c r="D78" s="30" t="str">
        <f>IF(结!D78="","",结!D78)</f>
        <v>沟通能力强的人善于将想法付诸言辞，他们是极佳的交谈者和生动的讲解者。</v>
      </c>
      <c r="E78" s="30" t="str">
        <f>IF(结!E78="","",结!E78)</f>
        <v/>
      </c>
      <c r="F78" s="30" t="str">
        <f>IF(结!F78="","",结!F78)</f>
        <v/>
      </c>
      <c r="G78" s="30" t="str">
        <f>IF(结!G78="","",结!G78)</f>
        <v/>
      </c>
      <c r="H78" s="30" t="str">
        <f>IF(结!H78="","",结!H78)</f>
        <v/>
      </c>
      <c r="I78" s="32" t="str">
        <f>IF(结!I78="","",结!I78)</f>
        <v/>
      </c>
      <c r="J78" s="1" t="str">
        <f>IF(结!J78="","",结!J78)</f>
        <v/>
      </c>
      <c r="K78" s="1" t="str">
        <f>IF(结!K78="","",结!K78)</f>
        <v/>
      </c>
    </row>
    <row r="79" ht="32.1" customHeight="1" spans="1:11">
      <c r="A79" s="1" t="str">
        <f>IF(结!A79="","",结!A79)</f>
        <v/>
      </c>
      <c r="B79" s="28">
        <f>IF(结!B79="","",结!B79)</f>
        <v>34</v>
      </c>
      <c r="C79" s="29" t="str">
        <f>IF(结!C79="","",结!C79)</f>
        <v>积极</v>
      </c>
      <c r="D79" s="30" t="str">
        <f>IF(结!D79="","",结!D79)</f>
        <v>积极的人浑身充满了富有感染力的热情。他们用快乐、向上来感召周围的人。</v>
      </c>
      <c r="E79" s="30" t="str">
        <f>IF(结!E79="","",结!E79)</f>
        <v/>
      </c>
      <c r="F79" s="30" t="str">
        <f>IF(结!F79="","",结!F79)</f>
        <v/>
      </c>
      <c r="G79" s="30" t="str">
        <f>IF(结!G79="","",结!G79)</f>
        <v/>
      </c>
      <c r="H79" s="30" t="str">
        <f>IF(结!H79="","",结!H79)</f>
        <v/>
      </c>
      <c r="I79" s="32" t="str">
        <f>IF(结!I79="","",结!I79)</f>
        <v/>
      </c>
      <c r="J79" s="1" t="str">
        <f>IF(结!J79="","",结!J79)</f>
        <v/>
      </c>
      <c r="K79" s="1" t="str">
        <f>IF(结!K79="","",结!K79)</f>
        <v/>
      </c>
    </row>
    <row r="80" spans="1:11">
      <c r="A80" s="1" t="str">
        <f>IF(结!A80="","",结!A80)</f>
        <v/>
      </c>
      <c r="B80" s="2" t="str">
        <f>IF(结!B80="","",结!B80)</f>
        <v/>
      </c>
      <c r="C80" s="1" t="str">
        <f>IF(结!C80="","",结!C80)</f>
        <v/>
      </c>
      <c r="D80" s="1" t="str">
        <f>IF(结!D80="","",结!D80)</f>
        <v/>
      </c>
      <c r="E80" s="1" t="str">
        <f>IF(结!E80="","",结!E80)</f>
        <v/>
      </c>
      <c r="F80" s="1" t="str">
        <f>IF(结!F80="","",结!F80)</f>
        <v/>
      </c>
      <c r="G80" s="1" t="str">
        <f>IF(结!G80="","",结!G80)</f>
        <v/>
      </c>
      <c r="H80" s="1" t="str">
        <f>IF(结!H80="","",结!H80)</f>
        <v/>
      </c>
      <c r="I80" s="1" t="str">
        <f>IF(结!I80="","",结!I80)</f>
        <v/>
      </c>
      <c r="J80" s="1" t="str">
        <f>IF(结!J80="","",结!J80)</f>
        <v/>
      </c>
      <c r="K80" s="1" t="str">
        <f>IF(结!K80="","",结!K80)</f>
        <v/>
      </c>
    </row>
    <row r="81" spans="1:11">
      <c r="A81" s="1" t="str">
        <f>IF(结!A81="","",结!A81)</f>
        <v/>
      </c>
      <c r="B81" s="2" t="str">
        <f>IF(结!B81="","",结!B81)</f>
        <v/>
      </c>
      <c r="C81" s="1" t="str">
        <f>IF(结!C81="","",结!C81)</f>
        <v/>
      </c>
      <c r="D81" s="1" t="str">
        <f>IF(结!D81="","",结!D81)</f>
        <v/>
      </c>
      <c r="E81" s="1" t="str">
        <f>IF(结!E81="","",结!E81)</f>
        <v/>
      </c>
      <c r="F81" s="1" t="str">
        <f>IF(结!F81="","",结!F81)</f>
        <v/>
      </c>
      <c r="G81" s="1" t="str">
        <f>IF(结!G81="","",结!G81)</f>
        <v/>
      </c>
      <c r="H81" s="1" t="str">
        <f>IF(结!H81="","",结!H81)</f>
        <v/>
      </c>
      <c r="I81" s="1" t="str">
        <f>IF(结!I81="","",结!I81)</f>
        <v/>
      </c>
      <c r="J81" s="1" t="str">
        <f>IF(结!J81="","",结!J81)</f>
        <v/>
      </c>
      <c r="K81" s="1" t="str">
        <f>IF(结!K81="","",结!K81)</f>
        <v/>
      </c>
    </row>
  </sheetData>
  <sheetProtection password="CF7A" sheet="1" objects="1" scenarios="1"/>
  <mergeCells count="48">
    <mergeCell ref="B2:I2"/>
    <mergeCell ref="C5:H5"/>
    <mergeCell ref="B26:H26"/>
    <mergeCell ref="D27:I27"/>
    <mergeCell ref="C28:I28"/>
    <mergeCell ref="D29:I29"/>
    <mergeCell ref="C30:I30"/>
    <mergeCell ref="D31:I31"/>
    <mergeCell ref="C32:I32"/>
    <mergeCell ref="D33:I33"/>
    <mergeCell ref="C34:I34"/>
    <mergeCell ref="D35:I35"/>
    <mergeCell ref="C36:I36"/>
    <mergeCell ref="B45:I45"/>
    <mergeCell ref="D46:I46"/>
    <mergeCell ref="D47:I47"/>
    <mergeCell ref="D48:I48"/>
    <mergeCell ref="D49:I49"/>
    <mergeCell ref="D50:I50"/>
    <mergeCell ref="D51:I51"/>
    <mergeCell ref="D52:I52"/>
    <mergeCell ref="D53:I53"/>
    <mergeCell ref="D54:I54"/>
    <mergeCell ref="D55:I55"/>
    <mergeCell ref="D56:I56"/>
    <mergeCell ref="D57:I57"/>
    <mergeCell ref="D58:I58"/>
    <mergeCell ref="D59:I59"/>
    <mergeCell ref="D60:I60"/>
    <mergeCell ref="D61:I61"/>
    <mergeCell ref="D62:I62"/>
    <mergeCell ref="D63:I63"/>
    <mergeCell ref="D64:I64"/>
    <mergeCell ref="D65:I65"/>
    <mergeCell ref="D66:I66"/>
    <mergeCell ref="D67:I67"/>
    <mergeCell ref="D68:I68"/>
    <mergeCell ref="D69:I69"/>
    <mergeCell ref="D70:I70"/>
    <mergeCell ref="D71:I71"/>
    <mergeCell ref="D72:I72"/>
    <mergeCell ref="D73:I73"/>
    <mergeCell ref="D74:I74"/>
    <mergeCell ref="D75:I75"/>
    <mergeCell ref="D76:I76"/>
    <mergeCell ref="D77:I77"/>
    <mergeCell ref="D78:I78"/>
    <mergeCell ref="D79:I79"/>
  </mergeCells>
  <conditionalFormatting sqref="C46:D79 C25:E25">
    <cfRule type="expression" priority="1">
      <formula>"$F$22=1"</formula>
    </cfRule>
  </conditionalFormatting>
  <pageMargins left="0.7" right="0.7" top="0.75" bottom="0.75" header="0.3" footer="0.3"/>
  <headerFooter/>
  <pictur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Company>ww</Company>
  <Application>Kingsoft Office</Application>
  <HeadingPairs>
    <vt:vector size="2" baseType="variant">
      <vt:variant>
        <vt:lpstr>工作表</vt:lpstr>
      </vt:variant>
      <vt:variant>
        <vt:i4>7</vt:i4>
      </vt:variant>
    </vt:vector>
  </HeadingPairs>
  <TitlesOfParts>
    <vt:vector size="7" baseType="lpstr">
      <vt:lpstr>启始页</vt:lpstr>
      <vt:lpstr>首页</vt:lpstr>
      <vt:lpstr>测试题</vt:lpstr>
      <vt:lpstr>结</vt:lpstr>
      <vt:lpstr>sheet1</vt:lpstr>
      <vt:lpstr>Sheet2</vt:lpstr>
      <vt:lpstr>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rr</dc:creator>
  <cp:lastModifiedBy>BLUE</cp:lastModifiedBy>
  <dcterms:created xsi:type="dcterms:W3CDTF">2003-05-11T11:18:00Z</dcterms:created>
  <dcterms:modified xsi:type="dcterms:W3CDTF">2025-08-10T13:43:26Z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5E36E64EBBC108A94E0AA1651705A02F_42</vt:lpwstr>
  </property>
</Properties>
</file>